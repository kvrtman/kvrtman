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board" sheetId="1" state="visible" r:id="rId3"/>
    <sheet name="Delivery Log" sheetId="2" state="visible" r:id="rId4"/>
    <sheet name="Initiative Log" sheetId="3" state="visible" r:id="rId5"/>
    <sheet name="Calibr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<sst xmlns="http://schemas.openxmlformats.org/spreadsheetml/2006/main" count="343" uniqueCount="198">
  <si>
    <t xml:space="preserve">Delivery Scoreboard, per owner. Kurt only.</t>
  </si>
  <si>
    <t xml:space="preserve">Private file: individual scores are not shared between team members. The shared tracker stays the team view of the work itself.</t>
  </si>
  <si>
    <t xml:space="preserve">Ivan, Jul call: was it delivered on time, yes, no, or faster; was it delivered at the level you expected. Resyncs are the quality signal. Computed from the Delivery Log tab.</t>
  </si>
  <si>
    <t xml:space="preserve">Owner</t>
  </si>
  <si>
    <t xml:space="preserve">Committed (Due set)</t>
  </si>
  <si>
    <t xml:space="preserve">Delivered</t>
  </si>
  <si>
    <t xml:space="preserve">Faster</t>
  </si>
  <si>
    <t xml:space="preserve">On time</t>
  </si>
  <si>
    <t xml:space="preserve">Late</t>
  </si>
  <si>
    <t xml:space="preserve">On time or faster</t>
  </si>
  <si>
    <t xml:space="preserve">Overdue (open)</t>
  </si>
  <si>
    <t xml:space="preserve">Avg resyncs</t>
  </si>
  <si>
    <t xml:space="preserve">JV Manlangit</t>
  </si>
  <si>
    <t xml:space="preserve">Anton Betia</t>
  </si>
  <si>
    <t xml:space="preserve">Manzil Balani</t>
  </si>
  <si>
    <t xml:space="preserve">Elias Marcella</t>
  </si>
  <si>
    <t xml:space="preserve">Jastin Lagumbay</t>
  </si>
  <si>
    <t xml:space="preserve">Team</t>
  </si>
  <si>
    <t xml:space="preserve">How to read it: Committed = rows with an agreed Due date. Speed needs Due dates, so set them at standup; a delivery without a Due date cannot be scored.</t>
  </si>
  <si>
    <t xml:space="preserve">Refresh weekly: copy rows A4 down to M from the tracker's Master Rollup and paste into the Delivery Log tab (same columns). In Google Sheets, the Delivery Log tab can be replaced with IMPORTRANGE for auto-sync.</t>
  </si>
  <si>
    <t xml:space="preserve">Feeds the quarterly Revolut-style scorecard: Speed from on time or faster, Quality from resyncs and level delivered, Complexity judged per project. Deliverables = (Speed + Quality) x Complexity.</t>
  </si>
  <si>
    <t xml:space="preserve">Mirror of the tracker Master Rollup (columns A to M). Refresh by paste, or IMPORTRANGE in Google Sheets. The Scoreboard reads Owner (A), Status (C), Due (H), Delivered (I), Resyncs (K).</t>
  </si>
  <si>
    <t xml:space="preserve">Project</t>
  </si>
  <si>
    <t xml:space="preserve">Status</t>
  </si>
  <si>
    <t xml:space="preserve">Priority</t>
  </si>
  <si>
    <t xml:space="preserve">KPI Key Driver</t>
  </si>
  <si>
    <t xml:space="preserve">Impact (bottom-up)</t>
  </si>
  <si>
    <t xml:space="preserve">Added</t>
  </si>
  <si>
    <t xml:space="preserve">Due</t>
  </si>
  <si>
    <t xml:space="preserve">Speed</t>
  </si>
  <si>
    <t xml:space="preserve">Resyncs</t>
  </si>
  <si>
    <t xml:space="preserve">Summary</t>
  </si>
  <si>
    <t xml:space="preserve">ClickUp / BRD Link</t>
  </si>
  <si>
    <t xml:space="preserve">SAP Video Capture</t>
  </si>
  <si>
    <t xml:space="preserve">In Progress</t>
  </si>
  <si>
    <t xml:space="preserve">Urgent</t>
  </si>
  <si>
    <t xml:space="preserve">SAP - D2 Disbursement per active agent</t>
  </si>
  <si>
    <t xml:space="preserve">Video statement capture for high-risk clients with AI transcript + facial verification. Phase 1 live. AI status update pending.</t>
  </si>
  <si>
    <t xml:space="preserve">https://app.clickup.com/t/86ewdm810</t>
  </si>
  <si>
    <t xml:space="preserve">Item-Based Pricing</t>
  </si>
  <si>
    <t xml:space="preserve">Blocked</t>
  </si>
  <si>
    <t xml:space="preserve">Pricing - Merchants (Chi)</t>
  </si>
  <si>
    <t xml:space="preserve">Apply promo rules to selected products, not whole catalog. Part of products engine. awaiting merchant requirements.</t>
  </si>
  <si>
    <t xml:space="preserve">https://app.clickup.com/t/86ewdm7xz</t>
  </si>
  <si>
    <t xml:space="preserve">Credit Line (Launch)</t>
  </si>
  <si>
    <t xml:space="preserve">Credit Line - D1 Utilization &amp; drawdown</t>
  </si>
  <si>
    <t xml:space="preserve">CL utilization and drawdown, target set ~30 days post-launch</t>
  </si>
  <si>
    <t xml:space="preserve">Launched 15 Jul (F&amp;F/ETB). Phase-1 open: repayment/statement emails, eligibility, biz events, web FAQ, pending-txn spec. Refund/chargeback &amp; IPP later phases.</t>
  </si>
  <si>
    <t xml:space="preserve">https://app.clickup.com/t/9008174123/86eyaav7k</t>
  </si>
  <si>
    <t xml:space="preserve">Motorcycle Loans (KServico)</t>
  </si>
  <si>
    <t xml:space="preserve">High</t>
  </si>
  <si>
    <t xml:space="preserve">Motorcycles - D1 Moto monthly disbursement</t>
  </si>
  <si>
    <t xml:space="preserve">Moto monthly run rate, gated by Nhat</t>
  </si>
  <si>
    <t xml:space="preserve">Addendum &amp; SA guide done, delivered via SAP. refresher pending. return-config changes being finalized.</t>
  </si>
  <si>
    <t xml:space="preserve">https://app.clickup.com/t/9008174123/86ey83p6c</t>
  </si>
  <si>
    <t xml:space="preserve">Special Deals Offer to Low-Risk Customers</t>
  </si>
  <si>
    <t xml:space="preserve">Deals - D1 Monthly disbursement</t>
  </si>
  <si>
    <t xml:space="preserve">Conversion lift on low-risk base, size with Nhat before comms</t>
  </si>
  <si>
    <t xml:space="preserve">Additional-limit offer to low-risk clients to lift conversion. DE deployed. comms Jul 20.</t>
  </si>
  <si>
    <t xml:space="preserve">https://app.clickup.com/t/9008174123/86exz94uf</t>
  </si>
  <si>
    <t xml:space="preserve">Deals API Documentation</t>
  </si>
  <si>
    <t xml:space="preserve">Gather partner API docs (Giftaway, 3Cat) to scope integration timeline.</t>
  </si>
  <si>
    <t xml:space="preserve">https://app.clickup.com/t/9008174123/86ey90pqa</t>
  </si>
  <si>
    <t xml:space="preserve">Vouchers on Deals</t>
  </si>
  <si>
    <t xml:space="preserve">Enable voucher purchases on Deals. preparing rails.</t>
  </si>
  <si>
    <t xml:space="preserve">https://app.clickup.com/t/9008174123/86eyadmt7</t>
  </si>
  <si>
    <t xml:space="preserve">Launch Deals on Web</t>
  </si>
  <si>
    <t xml:space="preserve">Deals - D3 Delivery on roadmap</t>
  </si>
  <si>
    <t xml:space="preserve">Web version of Deals. Phase 1 UI testing paused as of Jul 15.</t>
  </si>
  <si>
    <t xml:space="preserve">Deals Merchant BD Pipeline</t>
  </si>
  <si>
    <t xml:space="preserve">Deals BD - D2 New merchants live &amp; disbursing</t>
  </si>
  <si>
    <t xml:space="preserve">New merchants live and disbursing, ticket uplift</t>
  </si>
  <si>
    <t xml:space="preserve">Brand pipeline. WARM: Kimstore, 3Cat, Hati, Laptop Factory, Samsung, PrimerGrp, PowerMac, AirAsia, Qoala. Rejected: MetroMart, Engkanto, DataBlitz, Vivo, Mandaue Foam.</t>
  </si>
  <si>
    <t xml:space="preserve">https://docs.google.com/spreadsheets/d/1Qx9NB9uO7TvVACgTXQszWOwBFCa_OTElUIsEwWYCVOM/</t>
  </si>
  <si>
    <t xml:space="preserve">Access Card</t>
  </si>
  <si>
    <t xml:space="preserve">Card - D2 Card unit economics</t>
  </si>
  <si>
    <t xml:space="preserve">Per-card break-even on interchange at target CAC</t>
  </si>
  <si>
    <t xml:space="preserve">BillEase Mastercard (numberless) w/ AUB &amp; MatchMove. MOA negotiation (audit cap, CS cert, VAPT). design + bureau RFPs out. activation BRD done. Target prod Q4 2026.</t>
  </si>
  <si>
    <t xml:space="preserve">https://docs.google.com/spreadsheets/d/1Vf8kaBSoQp1PeSw156nCNtYON_3ZJM5ZbR9xZPe8SjU/</t>
  </si>
  <si>
    <t xml:space="preserve">Risk-Based Pricing</t>
  </si>
  <si>
    <t xml:space="preserve">Pricing - Merchants/Risk</t>
  </si>
  <si>
    <t xml:space="preserve">Dynamic interest rates by client credit behaviour. Part of products engine. awaiting requirements.</t>
  </si>
  <si>
    <t xml:space="preserve">https://app.clickup.com/t/86ewn2hpd</t>
  </si>
  <si>
    <t xml:space="preserve">SM Appliances - Acknowledgement Receipt</t>
  </si>
  <si>
    <t xml:space="preserve">Merchant Onboarding - D2 Onboarding cycle time</t>
  </si>
  <si>
    <t xml:space="preserve">Read-only approved-transaction receipt for merchants (75%). Dev done. awaiting SM signatory.</t>
  </si>
  <si>
    <t xml:space="preserve">https://app.clickup.com/t/86ewpkfpv</t>
  </si>
  <si>
    <t xml:space="preserve">Supervisors/RMs Stamp in Create Trx Report</t>
  </si>
  <si>
    <t xml:space="preserve">Adds supervisor/RM stamp to Create Trx Report (83%). Live for txns after Jun 16. validating incentives.</t>
  </si>
  <si>
    <t xml:space="preserve">https://app.clickup.com/t/86ex68b0u</t>
  </si>
  <si>
    <t xml:space="preserve">QRPh Chargeback Escalation (Netbank/AUB)</t>
  </si>
  <si>
    <t xml:space="preserve">QRPh - D1 Monthly disbursement run rate</t>
  </si>
  <si>
    <t xml:space="preserve">Protects the QRPh run rate</t>
  </si>
  <si>
    <t xml:space="preserve">Daily QRPh chargeback escalation &amp; checking for AUB and Netbank.</t>
  </si>
  <si>
    <t xml:space="preserve">https://app.clickup.com/t/9008174123/86ey9ztg7</t>
  </si>
  <si>
    <t xml:space="preserve">Merchant Onboarding Ops Queue (BAU)</t>
  </si>
  <si>
    <t xml:space="preserve">Daily BAU queue: shop/user/bank adds, onboarding, branch/name changes. ~20+ tickets/week, mostly same/next-day.</t>
  </si>
  <si>
    <t xml:space="preserve">https://docs.google.com/spreadsheets/d/1FXbhtIl3aNyH9zr5Zf_xpV_OaLrUeQVwTLEMQKsn_dg/</t>
  </si>
  <si>
    <t xml:space="preserve">Product Pricing / SAP Calculator PVT</t>
  </si>
  <si>
    <t xml:space="preserve">IT/PVT - Billy (D1 release quality gate)</t>
  </si>
  <si>
    <t xml:space="preserve">Pricing/tenor/IR validation across merchant scenarios (Android/iOS). Recent Fails at FC Home Lubao 3 &amp; Shaw need config fix.</t>
  </si>
  <si>
    <t xml:space="preserve">https://docs.google.com/spreadsheets/d/178O3aMK18zV_j96Xbp6UD3-QWxWX9QIFjTOju0fw-sM/</t>
  </si>
  <si>
    <t xml:space="preserve">Promoter Referral Program v2: Online Linking</t>
  </si>
  <si>
    <t xml:space="preserve">Normal</t>
  </si>
  <si>
    <t xml:space="preserve">Extends referral program to online transactions. BRD in progress. validation shifting to Merchants/Billease.</t>
  </si>
  <si>
    <t xml:space="preserve">https://app.clickup.com/9008174123/v/dc/8cevn1b-45778/8cevn1b-224358</t>
  </si>
  <si>
    <t xml:space="preserve">Feedback Form for Non-Converted Sign-ups</t>
  </si>
  <si>
    <t xml:space="preserve">Captures friction on agents' unconverted leads (25%). Adding conditional-question feature.</t>
  </si>
  <si>
    <t xml:space="preserve">https://app.clickup.com/t/86ewphrkt</t>
  </si>
  <si>
    <t xml:space="preserve">SAP Calculator</t>
  </si>
  <si>
    <t xml:space="preserve">Real-time SAP loan calculator from product config (40%). Mockup + ticket done. dev pending.</t>
  </si>
  <si>
    <t xml:space="preserve">https://app.clickup.com/t/86ex68cg9</t>
  </si>
  <si>
    <t xml:space="preserve">SAP Looker Dashboard</t>
  </si>
  <si>
    <t xml:space="preserve">BI - Jenny Ho (D1 dashboard)</t>
  </si>
  <si>
    <t xml:space="preserve">Looker reporting for Trx Requests, Non-Converted Sign-ups &amp; future SAP projects (50%). Dev pending.</t>
  </si>
  <si>
    <t xml:space="preserve">https://app.clickup.com/t/86ewqfqqa</t>
  </si>
  <si>
    <t xml:space="preserve">Deals UX Study</t>
  </si>
  <si>
    <t xml:space="preserve">Deals - D2 Acceptance/conversion</t>
  </si>
  <si>
    <t xml:space="preserve">UX study: brand-first vs agnostic Deals store. Regroup call scheduled.</t>
  </si>
  <si>
    <t xml:space="preserve">Multi-item per Merchant</t>
  </si>
  <si>
    <t xml:space="preserve">Same product across merchants with price-comparison screen. BRD drafted. design pending.</t>
  </si>
  <si>
    <t xml:space="preserve">https://app.clickup.com/t/9008174123/86ey9gdq1</t>
  </si>
  <si>
    <t xml:space="preserve">Location-Based Delivery</t>
  </si>
  <si>
    <t xml:space="preserve">Support coordinates + flag out-of-range deliveries. BRD + mockup for Kurt's input.</t>
  </si>
  <si>
    <t xml:space="preserve">https://app.clickup.com/t/9008174123/86eyavqf4</t>
  </si>
  <si>
    <t xml:space="preserve">Pick-Up Model</t>
  </si>
  <si>
    <t xml:space="preserve">Pickup-location fulfillment option instead of delivery. BRD + mockup for Kurt's input.</t>
  </si>
  <si>
    <t xml:space="preserve">https://app.clickup.com/t/9008174123/86eyavtqg</t>
  </si>
  <si>
    <t xml:space="preserve">Support for Pre-Owned on Deals</t>
  </si>
  <si>
    <t xml:space="preserve">Not Started</t>
  </si>
  <si>
    <t xml:space="preserve">Prepare rails for pre-owned listings (3Cat). Rails list being scoped.</t>
  </si>
  <si>
    <t xml:space="preserve">https://app.clickup.com/t/9008174123/86eyafcd5</t>
  </si>
  <si>
    <t xml:space="preserve">Credit Line for Deals</t>
  </si>
  <si>
    <t xml:space="preserve">Integrate Deals with Credit Line. Target August.</t>
  </si>
  <si>
    <t xml:space="preserve">https://app.clickup.com/t/9008174123/86ey7mar5</t>
  </si>
  <si>
    <t xml:space="preserve">Deals 360 Dashboard</t>
  </si>
  <si>
    <t xml:space="preserve">Expanded Deals 360 dashboard. requested columns from Jenny.</t>
  </si>
  <si>
    <t xml:space="preserve">https://app.clickup.com/t/9008174123/86ey90puc</t>
  </si>
  <si>
    <t xml:space="preserve">Adding Missing Deals Items</t>
  </si>
  <si>
    <t xml:space="preserve">Deals BD - D2 New merchants live</t>
  </si>
  <si>
    <t xml:space="preserve">Add products missing from Deals inventory. List provided. items pending.</t>
  </si>
  <si>
    <t xml:space="preserve">Integrate Merchant Guide to Billease Docs</t>
  </si>
  <si>
    <t xml:space="preserve">Fewer onboarding tickets via self-serve guide</t>
  </si>
  <si>
    <t xml:space="preserve">Single self-service Merchant Guide: handbook + 7 walkthroughs, vector screens, PII redaction. Target 30% fewer tickets.</t>
  </si>
  <si>
    <t xml:space="preserve">https://app.clickup.com/t/9008174123/86exz70h6</t>
  </si>
  <si>
    <t xml:space="preserve">Automate Onboarding Email</t>
  </si>
  <si>
    <t xml:space="preserve">Auto welcome email on first transition to Active (once only), with logging + retry.</t>
  </si>
  <si>
    <t xml:space="preserve">https://app.clickup.com/t/9008174123/86ev2ktw2</t>
  </si>
  <si>
    <t xml:space="preserve">Update 'How to Become a Merchant' Page</t>
  </si>
  <si>
    <t xml:space="preserve">Add rejection screen linking to QRPh FAQs. keep success screen largely the same.</t>
  </si>
  <si>
    <t xml:space="preserve">https://app.clickup.com/t/9008174123/86ey3qbz2</t>
  </si>
  <si>
    <t xml:space="preserve">SAP Announcement &amp; Quiz Module v2</t>
  </si>
  <si>
    <t xml:space="preserve">Low</t>
  </si>
  <si>
    <t xml:space="preserve">v1 enhancements: editable-after-activation, duplicate forms, data filter by TL &amp; SFT.</t>
  </si>
  <si>
    <t xml:space="preserve">SAP Announcement &amp; Quiz Module v1</t>
  </si>
  <si>
    <t xml:space="preserve">Completed</t>
  </si>
  <si>
    <t xml:space="preserve">Mandatory in-SAP info delivery + retention quiz per agent. Rolled to prod Jul 3.</t>
  </si>
  <si>
    <t xml:space="preserve">https://app.clickup.com/t/9008174123/86ey0ujv3</t>
  </si>
  <si>
    <t xml:space="preserve">Early Upsell</t>
  </si>
  <si>
    <t xml:space="preserve">Post-disbursement upsell leaflet + announcement/quiz. Live. ~94% completion as of Jul 10.</t>
  </si>
  <si>
    <t xml:space="preserve">Credit Line - Agent Announcement (SAP)</t>
  </si>
  <si>
    <t xml:space="preserve">Credit Line announcement + quiz delivered to agents via SAP Jul 16.</t>
  </si>
  <si>
    <t xml:space="preserve">Promoter Referral Program v1: Offline Linking</t>
  </si>
  <si>
    <t xml:space="preserve">Auto-rewards promoters for merchant-loan referrals (offline). Live. Giftaway credits monitored weekly.</t>
  </si>
  <si>
    <t xml:space="preserve">https://app.clickup.com/9008174123/v/dc/8cevn1b-45778/8cevn1b-219678</t>
  </si>
  <si>
    <t xml:space="preserve">Maxicare PRIMA Launch on Deals</t>
  </si>
  <si>
    <t xml:space="preserve">Maxicare PRIMA live on Deals Jul 10. first marketing blast Jul 21. iOS pending shorter descriptions.</t>
  </si>
  <si>
    <t xml:space="preserve">Adding Pay Later on Deals</t>
  </si>
  <si>
    <t xml:space="preserve">Cancelled</t>
  </si>
  <si>
    <t xml:space="preserve">Pay Later / convert-to-installment on Deals. Cancelled - redundant with Credit Line.</t>
  </si>
  <si>
    <t xml:space="preserve">https://app.clickup.com/t/9008174123/86ew51ha3</t>
  </si>
  <si>
    <t xml:space="preserve">Apply Promo at Category/Item Level</t>
  </si>
  <si>
    <t xml:space="preserve">Item/category-level promos. Deferred - to be built after the Product Engine (Chi).</t>
  </si>
  <si>
    <t xml:space="preserve">https://app.clickup.com/t/9008174123/86ey2gvyt</t>
  </si>
  <si>
    <t xml:space="preserve">Initiative Log: the growth dimension (not bonus)</t>
  </si>
  <si>
    <t xml:space="preserve">Ivan, Jul call: you cannot grow if you do not do initiatives. Track who connects the numbers to actions. Assess each idea easy vs difficult and high vs low impact; it gets its own priority; then run it.</t>
  </si>
  <si>
    <t xml:space="preserve">Date</t>
  </si>
  <si>
    <t xml:space="preserve">Person</t>
  </si>
  <si>
    <t xml:space="preserve">Initiative (problem, proposed action)</t>
  </si>
  <si>
    <t xml:space="preserve">Effort</t>
  </si>
  <si>
    <t xml:space="preserve">Impact</t>
  </si>
  <si>
    <t xml:space="preserve">Priority (auto)</t>
  </si>
  <si>
    <t xml:space="preserve">Notes</t>
  </si>
  <si>
    <t xml:space="preserve">Deals listing sorts P9,999 item first while the popular P1,000 item is last; add cheapest-first sorting</t>
  </si>
  <si>
    <t xml:space="preserve">Easy</t>
  </si>
  <si>
    <t xml:space="preserve">In tracker</t>
  </si>
  <si>
    <t xml:space="preserve">Raised by Ivan on the Jul call; Kurt committed the fix</t>
  </si>
  <si>
    <t xml:space="preserve">Calibration: one score per person (5 to 1)</t>
  </si>
  <si>
    <t xml:space="preserve">Run NOW for the past 3 months; do not wait for the December review (Ivan, Jul call). Compare the result to your gut feel; when it corresponds, adopt it. How you arrive at the score, no one cares; the score is what calibrates.</t>
  </si>
  <si>
    <t xml:space="preserve">The bar is the person, not the peer: "I am not comparing you with him. I am comparing your bar with your performance." Juniors get a mistake discount; non-juniors must arrive fully thought through.</t>
  </si>
  <si>
    <t xml:space="preserve">Seniority (the bar)</t>
  </si>
  <si>
    <t xml:space="preserve">Initiatives</t>
  </si>
  <si>
    <t xml:space="preserve">Scorecard overall grade</t>
  </si>
  <si>
    <t xml:space="preserve">Score (5-1)</t>
  </si>
  <si>
    <t xml:space="preserve">Notes / evidence</t>
  </si>
  <si>
    <t xml:space="preserve">Senior</t>
  </si>
  <si>
    <t xml:space="preserve">Seniority for Elias per Ivan: superstar bar, well paid, the only discount is domain knowledge. Set the rest of the bars yourself and confirm with Ivan.</t>
  </si>
  <si>
    <t xml:space="preserve">Scorecard overall grade comes from each person's QuantumLight Product Owner scorecard (one copy per person per quarter). Yellow = fill by hand.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</si>
</sst>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\ m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03AA9"/>
      <name val="Arial"/>
      <family val="0"/>
      <charset val="1"/>
    </font>
    <font>
      <sz val="9"/>
      <color rgb="FF8A8A8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203AA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03AA9"/>
        <bgColor rgb="FF003366"/>
      </patternFill>
    </fill>
    <fill>
      <patternFill patternType="solid">
        <fgColor rgb="FFFFF3C9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A82"/>
      <rgbColor rgb="FF9999FF"/>
      <rgbColor rgb="FF993366"/>
      <rgbColor rgb="FFFFF3C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03AA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8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7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4" t="s">
        <v>12</v>
      </c>
      <c r="B6" s="5" t="n">
        <f aca="false">SUMPRODUCT(('Delivery Log'!$A$4:$A$400=$A6)*('Delivery Log'!$H$4:$H$400&lt;&gt;""))</f>
        <v>0</v>
      </c>
      <c r="C6" s="5" t="n">
        <f aca="false">SUMPRODUCT(('Delivery Log'!$A$4:$A$400=$A6)*('Delivery Log'!$I$4:$I$400&lt;&gt;""))</f>
        <v>2</v>
      </c>
      <c r="D6" s="5" t="n">
        <f aca="false">SUMPRODUCT(('Delivery Log'!$A$4:$A$400=$A6)*('Delivery Log'!$I$4:$I$400&lt;&gt;"")*('Delivery Log'!$H$4:$H$400&lt;&gt;"")*('Delivery Log'!$I$4:$I$400&lt;'Delivery Log'!$H$4:$H$400))</f>
        <v>0</v>
      </c>
      <c r="E6" s="5" t="n">
        <f aca="false">SUMPRODUCT(('Delivery Log'!$A$4:$A$400=$A6)*('Delivery Log'!$I$4:$I$400&lt;&gt;"")*('Delivery Log'!$H$4:$H$400&lt;&gt;"")*('Delivery Log'!$I$4:$I$400='Delivery Log'!$H$4:$H$400))</f>
        <v>0</v>
      </c>
      <c r="F6" s="5" t="n">
        <f aca="false">SUMPRODUCT(('Delivery Log'!$A$4:$A$400=$A6)*('Delivery Log'!$I$4:$I$400&lt;&gt;"")*('Delivery Log'!$H$4:$H$400&lt;&gt;"")*('Delivery Log'!$I$4:$I$400&gt;'Delivery Log'!$H$4:$H$400))</f>
        <v>0</v>
      </c>
      <c r="G6" s="6" t="str">
        <f aca="false">IF(D6+E6+F6=0,"-",(D6+E6)/(D6+E6+F6))</f>
        <v>-</v>
      </c>
      <c r="H6" s="5" t="n">
        <f aca="true">SUMPRODUCT(('Delivery Log'!$A$4:$A$400=$A6)*('Delivery Log'!$H$4:$H$400&lt;&gt;"")*('Delivery Log'!$I$4:$I$400="")*('Delivery Log'!$C$4:$C$400&lt;&gt;"Completed")*('Delivery Log'!$C$4:$C$400&lt;&gt;"Cancelled")*('Delivery Log'!$H$4:$H$400&lt;TODAY()))</f>
        <v>0</v>
      </c>
      <c r="I6" s="5" t="str">
        <f aca="false">IFERROR(ROUND(AVERAGEIFS('Delivery Log'!$K$4:$K$400,'Delivery Log'!$A$4:$A$400,$A6),1),"-")</f>
        <v>-</v>
      </c>
    </row>
    <row r="7" customFormat="false" ht="15" hidden="false" customHeight="false" outlineLevel="0" collapsed="false">
      <c r="A7" s="4" t="s">
        <v>13</v>
      </c>
      <c r="B7" s="5" t="n">
        <f aca="false">SUMPRODUCT(('Delivery Log'!$A$4:$A$400=$A7)*('Delivery Log'!$H$4:$H$400&lt;&gt;""))</f>
        <v>1</v>
      </c>
      <c r="C7" s="5" t="n">
        <f aca="false">SUMPRODUCT(('Delivery Log'!$A$4:$A$400=$A7)*('Delivery Log'!$I$4:$I$400&lt;&gt;""))</f>
        <v>0</v>
      </c>
      <c r="D7" s="5" t="n">
        <f aca="false">SUMPRODUCT(('Delivery Log'!$A$4:$A$400=$A7)*('Delivery Log'!$I$4:$I$400&lt;&gt;"")*('Delivery Log'!$H$4:$H$400&lt;&gt;"")*('Delivery Log'!$I$4:$I$400&lt;'Delivery Log'!$H$4:$H$400))</f>
        <v>0</v>
      </c>
      <c r="E7" s="5" t="n">
        <f aca="false">SUMPRODUCT(('Delivery Log'!$A$4:$A$400=$A7)*('Delivery Log'!$I$4:$I$400&lt;&gt;"")*('Delivery Log'!$H$4:$H$400&lt;&gt;"")*('Delivery Log'!$I$4:$I$400='Delivery Log'!$H$4:$H$400))</f>
        <v>0</v>
      </c>
      <c r="F7" s="5" t="n">
        <f aca="false">SUMPRODUCT(('Delivery Log'!$A$4:$A$400=$A7)*('Delivery Log'!$I$4:$I$400&lt;&gt;"")*('Delivery Log'!$H$4:$H$400&lt;&gt;"")*('Delivery Log'!$I$4:$I$400&gt;'Delivery Log'!$H$4:$H$400))</f>
        <v>0</v>
      </c>
      <c r="G7" s="6" t="str">
        <f aca="false">IF(D7+E7+F7=0,"-",(D7+E7)/(D7+E7+F7))</f>
        <v>-</v>
      </c>
      <c r="H7" s="5" t="n">
        <f aca="true">SUMPRODUCT(('Delivery Log'!$A$4:$A$400=$A7)*('Delivery Log'!$H$4:$H$400&lt;&gt;"")*('Delivery Log'!$I$4:$I$400="")*('Delivery Log'!$C$4:$C$400&lt;&gt;"Completed")*('Delivery Log'!$C$4:$C$400&lt;&gt;"Cancelled")*('Delivery Log'!$H$4:$H$400&lt;TODAY()))</f>
        <v>0</v>
      </c>
      <c r="I7" s="5" t="str">
        <f aca="false">IFERROR(ROUND(AVERAGEIFS('Delivery Log'!$K$4:$K$400,'Delivery Log'!$A$4:$A$400,$A7),1),"-")</f>
        <v>-</v>
      </c>
    </row>
    <row r="8" customFormat="false" ht="15" hidden="false" customHeight="false" outlineLevel="0" collapsed="false">
      <c r="A8" s="4" t="s">
        <v>14</v>
      </c>
      <c r="B8" s="5" t="n">
        <f aca="false">SUMPRODUCT(('Delivery Log'!$A$4:$A$400=$A8)*('Delivery Log'!$H$4:$H$400&lt;&gt;""))</f>
        <v>0</v>
      </c>
      <c r="C8" s="5" t="n">
        <f aca="false">SUMPRODUCT(('Delivery Log'!$A$4:$A$400=$A8)*('Delivery Log'!$I$4:$I$400&lt;&gt;""))</f>
        <v>1</v>
      </c>
      <c r="D8" s="5" t="n">
        <f aca="false">SUMPRODUCT(('Delivery Log'!$A$4:$A$400=$A8)*('Delivery Log'!$I$4:$I$400&lt;&gt;"")*('Delivery Log'!$H$4:$H$400&lt;&gt;"")*('Delivery Log'!$I$4:$I$400&lt;'Delivery Log'!$H$4:$H$400))</f>
        <v>0</v>
      </c>
      <c r="E8" s="5" t="n">
        <f aca="false">SUMPRODUCT(('Delivery Log'!$A$4:$A$400=$A8)*('Delivery Log'!$I$4:$I$400&lt;&gt;"")*('Delivery Log'!$H$4:$H$400&lt;&gt;"")*('Delivery Log'!$I$4:$I$400='Delivery Log'!$H$4:$H$400))</f>
        <v>0</v>
      </c>
      <c r="F8" s="5" t="n">
        <f aca="false">SUMPRODUCT(('Delivery Log'!$A$4:$A$400=$A8)*('Delivery Log'!$I$4:$I$400&lt;&gt;"")*('Delivery Log'!$H$4:$H$400&lt;&gt;"")*('Delivery Log'!$I$4:$I$400&gt;'Delivery Log'!$H$4:$H$400))</f>
        <v>0</v>
      </c>
      <c r="G8" s="6" t="str">
        <f aca="false">IF(D8+E8+F8=0,"-",(D8+E8)/(D8+E8+F8))</f>
        <v>-</v>
      </c>
      <c r="H8" s="5" t="n">
        <f aca="true">SUMPRODUCT(('Delivery Log'!$A$4:$A$400=$A8)*('Delivery Log'!$H$4:$H$400&lt;&gt;"")*('Delivery Log'!$I$4:$I$400="")*('Delivery Log'!$C$4:$C$400&lt;&gt;"Completed")*('Delivery Log'!$C$4:$C$400&lt;&gt;"Cancelled")*('Delivery Log'!$H$4:$H$400&lt;TODAY()))</f>
        <v>0</v>
      </c>
      <c r="I8" s="5" t="str">
        <f aca="false">IFERROR(ROUND(AVERAGEIFS('Delivery Log'!$K$4:$K$400,'Delivery Log'!$A$4:$A$400,$A8),1),"-")</f>
        <v>-</v>
      </c>
    </row>
    <row r="9" customFormat="false" ht="15" hidden="false" customHeight="false" outlineLevel="0" collapsed="false">
      <c r="A9" s="4" t="s">
        <v>15</v>
      </c>
      <c r="B9" s="5" t="n">
        <f aca="false">SUMPRODUCT(('Delivery Log'!$A$4:$A$400=$A9)*('Delivery Log'!$H$4:$H$400&lt;&gt;""))</f>
        <v>0</v>
      </c>
      <c r="C9" s="5" t="n">
        <f aca="false">SUMPRODUCT(('Delivery Log'!$A$4:$A$400=$A9)*('Delivery Log'!$I$4:$I$400&lt;&gt;""))</f>
        <v>0</v>
      </c>
      <c r="D9" s="5" t="n">
        <f aca="false">SUMPRODUCT(('Delivery Log'!$A$4:$A$400=$A9)*('Delivery Log'!$I$4:$I$400&lt;&gt;"")*('Delivery Log'!$H$4:$H$400&lt;&gt;"")*('Delivery Log'!$I$4:$I$400&lt;'Delivery Log'!$H$4:$H$400))</f>
        <v>0</v>
      </c>
      <c r="E9" s="5" t="n">
        <f aca="false">SUMPRODUCT(('Delivery Log'!$A$4:$A$400=$A9)*('Delivery Log'!$I$4:$I$400&lt;&gt;"")*('Delivery Log'!$H$4:$H$400&lt;&gt;"")*('Delivery Log'!$I$4:$I$400='Delivery Log'!$H$4:$H$400))</f>
        <v>0</v>
      </c>
      <c r="F9" s="5" t="n">
        <f aca="false">SUMPRODUCT(('Delivery Log'!$A$4:$A$400=$A9)*('Delivery Log'!$I$4:$I$400&lt;&gt;"")*('Delivery Log'!$H$4:$H$400&lt;&gt;"")*('Delivery Log'!$I$4:$I$400&gt;'Delivery Log'!$H$4:$H$400))</f>
        <v>0</v>
      </c>
      <c r="G9" s="6" t="str">
        <f aca="false">IF(D9+E9+F9=0,"-",(D9+E9)/(D9+E9+F9))</f>
        <v>-</v>
      </c>
      <c r="H9" s="5" t="n">
        <f aca="true">SUMPRODUCT(('Delivery Log'!$A$4:$A$400=$A9)*('Delivery Log'!$H$4:$H$400&lt;&gt;"")*('Delivery Log'!$I$4:$I$400="")*('Delivery Log'!$C$4:$C$400&lt;&gt;"Completed")*('Delivery Log'!$C$4:$C$400&lt;&gt;"Cancelled")*('Delivery Log'!$H$4:$H$400&lt;TODAY()))</f>
        <v>0</v>
      </c>
      <c r="I9" s="5" t="str">
        <f aca="false">IFERROR(ROUND(AVERAGEIFS('Delivery Log'!$K$4:$K$400,'Delivery Log'!$A$4:$A$400,$A9),1),"-")</f>
        <v>-</v>
      </c>
    </row>
    <row r="10" customFormat="false" ht="15" hidden="false" customHeight="false" outlineLevel="0" collapsed="false">
      <c r="A10" s="4" t="s">
        <v>16</v>
      </c>
      <c r="B10" s="5" t="n">
        <f aca="false">SUMPRODUCT(('Delivery Log'!$A$4:$A$400=$A10)*('Delivery Log'!$H$4:$H$400&lt;&gt;""))</f>
        <v>0</v>
      </c>
      <c r="C10" s="5" t="n">
        <f aca="false">SUMPRODUCT(('Delivery Log'!$A$4:$A$400=$A10)*('Delivery Log'!$I$4:$I$400&lt;&gt;""))</f>
        <v>0</v>
      </c>
      <c r="D10" s="5" t="n">
        <f aca="false">SUMPRODUCT(('Delivery Log'!$A$4:$A$400=$A10)*('Delivery Log'!$I$4:$I$400&lt;&gt;"")*('Delivery Log'!$H$4:$H$400&lt;&gt;"")*('Delivery Log'!$I$4:$I$400&lt;'Delivery Log'!$H$4:$H$400))</f>
        <v>0</v>
      </c>
      <c r="E10" s="5" t="n">
        <f aca="false">SUMPRODUCT(('Delivery Log'!$A$4:$A$400=$A10)*('Delivery Log'!$I$4:$I$400&lt;&gt;"")*('Delivery Log'!$H$4:$H$400&lt;&gt;"")*('Delivery Log'!$I$4:$I$400='Delivery Log'!$H$4:$H$400))</f>
        <v>0</v>
      </c>
      <c r="F10" s="5" t="n">
        <f aca="false">SUMPRODUCT(('Delivery Log'!$A$4:$A$400=$A10)*('Delivery Log'!$I$4:$I$400&lt;&gt;"")*('Delivery Log'!$H$4:$H$400&lt;&gt;"")*('Delivery Log'!$I$4:$I$400&gt;'Delivery Log'!$H$4:$H$400))</f>
        <v>0</v>
      </c>
      <c r="G10" s="6" t="str">
        <f aca="false">IF(D10+E10+F10=0,"-",(D10+E10)/(D10+E10+F10))</f>
        <v>-</v>
      </c>
      <c r="H10" s="5" t="n">
        <f aca="true">SUMPRODUCT(('Delivery Log'!$A$4:$A$400=$A10)*('Delivery Log'!$H$4:$H$400&lt;&gt;"")*('Delivery Log'!$I$4:$I$400="")*('Delivery Log'!$C$4:$C$400&lt;&gt;"Completed")*('Delivery Log'!$C$4:$C$400&lt;&gt;"Cancelled")*('Delivery Log'!$H$4:$H$400&lt;TODAY()))</f>
        <v>0</v>
      </c>
      <c r="I10" s="5" t="str">
        <f aca="false">IFERROR(ROUND(AVERAGEIFS('Delivery Log'!$K$4:$K$400,'Delivery Log'!$A$4:$A$400,$A10),1),"-")</f>
        <v>-</v>
      </c>
    </row>
    <row r="11" customFormat="false" ht="15" hidden="false" customHeight="false" outlineLevel="0" collapsed="false">
      <c r="A11" s="7" t="s">
        <v>17</v>
      </c>
      <c r="B11" s="8" t="n">
        <f aca="false">SUM(B6:B10)</f>
        <v>1</v>
      </c>
      <c r="C11" s="8" t="n">
        <f aca="false">SUM(C6:C10)</f>
        <v>3</v>
      </c>
      <c r="D11" s="8" t="n">
        <f aca="false">SUM(D6:D10)</f>
        <v>0</v>
      </c>
      <c r="E11" s="8" t="n">
        <f aca="false">SUM(E6:E10)</f>
        <v>0</v>
      </c>
      <c r="F11" s="8" t="n">
        <f aca="false">SUM(F6:F10)</f>
        <v>0</v>
      </c>
      <c r="G11" s="9" t="str">
        <f aca="false">IF(D11+E11+F11=0,"-",(D11+E11)/(D11+E11+F11))</f>
        <v>-</v>
      </c>
      <c r="H11" s="8" t="n">
        <f aca="false">SUM(H6:H10)</f>
        <v>0</v>
      </c>
    </row>
    <row r="13" customFormat="false" ht="15" hidden="false" customHeight="false" outlineLevel="0" collapsed="false">
      <c r="A13" s="2" t="s">
        <v>18</v>
      </c>
    </row>
    <row r="14" customFormat="false" ht="15" hidden="false" customHeight="false" outlineLevel="0" collapsed="false">
      <c r="A14" s="2" t="s">
        <v>19</v>
      </c>
    </row>
    <row r="15" customFormat="false" ht="15" hidden="false" customHeight="false" outlineLevel="0" collapsed="false">
      <c r="A1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8" min="7" style="0" width="9"/>
    <col collapsed="false" customWidth="true" hidden="false" outlineLevel="0" max="10" min="9" style="0" width="9.5"/>
    <col collapsed="false" customWidth="true" hidden="false" outlineLevel="0" max="11" min="11" style="0" width="9"/>
    <col collapsed="false" customWidth="true" hidden="false" outlineLevel="0" max="12" min="12" style="0" width="50"/>
    <col collapsed="false" customWidth="true" hidden="false" outlineLevel="0" max="13" min="13" style="0" width="46"/>
  </cols>
  <sheetData>
    <row r="1" customFormat="false" ht="15" hidden="false" customHeight="false" outlineLevel="0" collapsed="false">
      <c r="A1" s="2" t="s">
        <v>21</v>
      </c>
    </row>
    <row r="3" customFormat="false" ht="21.75" hidden="false" customHeight="true" outlineLevel="0" collapsed="false">
      <c r="A3" s="10" t="s">
        <v>3</v>
      </c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10" t="s">
        <v>27</v>
      </c>
      <c r="H3" s="10" t="s">
        <v>28</v>
      </c>
      <c r="I3" s="10" t="s">
        <v>5</v>
      </c>
      <c r="J3" s="10" t="s">
        <v>29</v>
      </c>
      <c r="K3" s="10" t="s">
        <v>30</v>
      </c>
      <c r="L3" s="10" t="s">
        <v>31</v>
      </c>
      <c r="M3" s="10" t="s">
        <v>32</v>
      </c>
    </row>
    <row r="4" customFormat="false" ht="15" hidden="false" customHeight="false" outlineLevel="0" collapsed="false">
      <c r="A4" s="11" t="s">
        <v>12</v>
      </c>
      <c r="B4" s="12" t="s">
        <v>33</v>
      </c>
      <c r="C4" s="12" t="s">
        <v>34</v>
      </c>
      <c r="D4" s="12" t="s">
        <v>35</v>
      </c>
      <c r="E4" s="12" t="s">
        <v>36</v>
      </c>
      <c r="F4" s="12"/>
      <c r="G4" s="13"/>
      <c r="H4" s="13"/>
      <c r="I4" s="13"/>
      <c r="J4" s="12" t="str">
        <f aca="false">IF(I4="","",IF(H4="","-",IF(I4&lt;H4,"Faster",IF(I4=H4,"On time","Late"))))</f>
        <v/>
      </c>
      <c r="K4" s="12"/>
      <c r="L4" s="12" t="s">
        <v>37</v>
      </c>
      <c r="M4" s="12" t="s">
        <v>38</v>
      </c>
    </row>
    <row r="5" customFormat="false" ht="15" hidden="false" customHeight="false" outlineLevel="0" collapsed="false">
      <c r="A5" s="11" t="s">
        <v>13</v>
      </c>
      <c r="B5" s="12" t="s">
        <v>39</v>
      </c>
      <c r="C5" s="12" t="s">
        <v>40</v>
      </c>
      <c r="D5" s="12" t="s">
        <v>35</v>
      </c>
      <c r="E5" s="12" t="s">
        <v>41</v>
      </c>
      <c r="F5" s="12"/>
      <c r="G5" s="13"/>
      <c r="H5" s="13"/>
      <c r="I5" s="13"/>
      <c r="J5" s="12" t="str">
        <f aca="false">IF(I5="","",IF(H5="","-",IF(I5&lt;H5,"Faster",IF(I5=H5,"On time","Late"))))</f>
        <v/>
      </c>
      <c r="K5" s="12"/>
      <c r="L5" s="12" t="s">
        <v>42</v>
      </c>
      <c r="M5" s="12" t="s">
        <v>43</v>
      </c>
    </row>
    <row r="6" customFormat="false" ht="15" hidden="false" customHeight="false" outlineLevel="0" collapsed="false">
      <c r="A6" s="11" t="s">
        <v>15</v>
      </c>
      <c r="B6" s="12" t="s">
        <v>44</v>
      </c>
      <c r="C6" s="12" t="s">
        <v>34</v>
      </c>
      <c r="D6" s="12" t="s">
        <v>35</v>
      </c>
      <c r="E6" s="12" t="s">
        <v>45</v>
      </c>
      <c r="F6" s="12" t="s">
        <v>46</v>
      </c>
      <c r="G6" s="13"/>
      <c r="H6" s="13"/>
      <c r="I6" s="13"/>
      <c r="J6" s="12" t="str">
        <f aca="false">IF(I6="","",IF(H6="","-",IF(I6&lt;H6,"Faster",IF(I6=H6,"On time","Late"))))</f>
        <v/>
      </c>
      <c r="K6" s="12"/>
      <c r="L6" s="12" t="s">
        <v>47</v>
      </c>
      <c r="M6" s="12" t="s">
        <v>48</v>
      </c>
    </row>
    <row r="7" customFormat="false" ht="15" hidden="false" customHeight="false" outlineLevel="0" collapsed="false">
      <c r="A7" s="11" t="s">
        <v>12</v>
      </c>
      <c r="B7" s="12" t="s">
        <v>49</v>
      </c>
      <c r="C7" s="12" t="s">
        <v>34</v>
      </c>
      <c r="D7" s="12" t="s">
        <v>50</v>
      </c>
      <c r="E7" s="12" t="s">
        <v>51</v>
      </c>
      <c r="F7" s="12" t="s">
        <v>52</v>
      </c>
      <c r="G7" s="13"/>
      <c r="H7" s="13"/>
      <c r="I7" s="13"/>
      <c r="J7" s="12" t="str">
        <f aca="false">IF(I7="","",IF(H7="","-",IF(I7&lt;H7,"Faster",IF(I7=H7,"On time","Late"))))</f>
        <v/>
      </c>
      <c r="K7" s="12"/>
      <c r="L7" s="12" t="s">
        <v>53</v>
      </c>
      <c r="M7" s="12" t="s">
        <v>54</v>
      </c>
    </row>
    <row r="8" customFormat="false" ht="15" hidden="false" customHeight="false" outlineLevel="0" collapsed="false">
      <c r="A8" s="11" t="s">
        <v>13</v>
      </c>
      <c r="B8" s="12" t="s">
        <v>55</v>
      </c>
      <c r="C8" s="12" t="s">
        <v>34</v>
      </c>
      <c r="D8" s="12" t="s">
        <v>50</v>
      </c>
      <c r="E8" s="12" t="s">
        <v>56</v>
      </c>
      <c r="F8" s="12" t="s">
        <v>57</v>
      </c>
      <c r="G8" s="13"/>
      <c r="H8" s="13" t="n">
        <v>46223</v>
      </c>
      <c r="I8" s="13"/>
      <c r="J8" s="12" t="str">
        <f aca="false">IF(I8="","",IF(H8="","-",IF(I8&lt;H8,"Faster",IF(I8=H8,"On time","Late"))))</f>
        <v/>
      </c>
      <c r="K8" s="12"/>
      <c r="L8" s="12" t="s">
        <v>58</v>
      </c>
      <c r="M8" s="12" t="s">
        <v>59</v>
      </c>
    </row>
    <row r="9" customFormat="false" ht="15" hidden="false" customHeight="false" outlineLevel="0" collapsed="false">
      <c r="A9" s="11" t="s">
        <v>13</v>
      </c>
      <c r="B9" s="12" t="s">
        <v>60</v>
      </c>
      <c r="C9" s="12" t="s">
        <v>34</v>
      </c>
      <c r="D9" s="12" t="s">
        <v>50</v>
      </c>
      <c r="E9" s="12" t="s">
        <v>56</v>
      </c>
      <c r="F9" s="12"/>
      <c r="G9" s="13"/>
      <c r="H9" s="13"/>
      <c r="I9" s="13"/>
      <c r="J9" s="12" t="str">
        <f aca="false">IF(I9="","",IF(H9="","-",IF(I9&lt;H9,"Faster",IF(I9=H9,"On time","Late"))))</f>
        <v/>
      </c>
      <c r="K9" s="12"/>
      <c r="L9" s="12" t="s">
        <v>61</v>
      </c>
      <c r="M9" s="12" t="s">
        <v>62</v>
      </c>
    </row>
    <row r="10" customFormat="false" ht="15" hidden="false" customHeight="false" outlineLevel="0" collapsed="false">
      <c r="A10" s="11" t="s">
        <v>13</v>
      </c>
      <c r="B10" s="12" t="s">
        <v>63</v>
      </c>
      <c r="C10" s="12" t="s">
        <v>34</v>
      </c>
      <c r="D10" s="12" t="s">
        <v>50</v>
      </c>
      <c r="E10" s="12" t="s">
        <v>56</v>
      </c>
      <c r="F10" s="12"/>
      <c r="G10" s="13"/>
      <c r="H10" s="13"/>
      <c r="I10" s="13"/>
      <c r="J10" s="12" t="str">
        <f aca="false">IF(I10="","",IF(H10="","-",IF(I10&lt;H10,"Faster",IF(I10=H10,"On time","Late"))))</f>
        <v/>
      </c>
      <c r="K10" s="12"/>
      <c r="L10" s="12" t="s">
        <v>64</v>
      </c>
      <c r="M10" s="12" t="s">
        <v>65</v>
      </c>
    </row>
    <row r="11" customFormat="false" ht="15" hidden="false" customHeight="false" outlineLevel="0" collapsed="false">
      <c r="A11" s="11" t="s">
        <v>13</v>
      </c>
      <c r="B11" s="12" t="s">
        <v>66</v>
      </c>
      <c r="C11" s="12" t="s">
        <v>34</v>
      </c>
      <c r="D11" s="12" t="s">
        <v>50</v>
      </c>
      <c r="E11" s="12" t="s">
        <v>67</v>
      </c>
      <c r="F11" s="12"/>
      <c r="G11" s="13"/>
      <c r="H11" s="13"/>
      <c r="I11" s="13"/>
      <c r="J11" s="12" t="str">
        <f aca="false">IF(I11="","",IF(H11="","-",IF(I11&lt;H11,"Faster",IF(I11=H11,"On time","Late"))))</f>
        <v/>
      </c>
      <c r="K11" s="12"/>
      <c r="L11" s="12" t="s">
        <v>68</v>
      </c>
      <c r="M11" s="12"/>
    </row>
    <row r="12" customFormat="false" ht="15" hidden="false" customHeight="false" outlineLevel="0" collapsed="false">
      <c r="A12" s="11" t="s">
        <v>14</v>
      </c>
      <c r="B12" s="12" t="s">
        <v>69</v>
      </c>
      <c r="C12" s="12" t="s">
        <v>34</v>
      </c>
      <c r="D12" s="12" t="s">
        <v>50</v>
      </c>
      <c r="E12" s="12" t="s">
        <v>70</v>
      </c>
      <c r="F12" s="12" t="s">
        <v>71</v>
      </c>
      <c r="G12" s="13"/>
      <c r="H12" s="13"/>
      <c r="I12" s="13"/>
      <c r="J12" s="12" t="str">
        <f aca="false">IF(I12="","",IF(H12="","-",IF(I12&lt;H12,"Faster",IF(I12=H12,"On time","Late"))))</f>
        <v/>
      </c>
      <c r="K12" s="12"/>
      <c r="L12" s="12" t="s">
        <v>72</v>
      </c>
      <c r="M12" s="12" t="s">
        <v>73</v>
      </c>
    </row>
    <row r="13" customFormat="false" ht="15" hidden="false" customHeight="false" outlineLevel="0" collapsed="false">
      <c r="A13" s="11" t="s">
        <v>15</v>
      </c>
      <c r="B13" s="12" t="s">
        <v>74</v>
      </c>
      <c r="C13" s="12" t="s">
        <v>34</v>
      </c>
      <c r="D13" s="12" t="s">
        <v>50</v>
      </c>
      <c r="E13" s="12" t="s">
        <v>75</v>
      </c>
      <c r="F13" s="12" t="s">
        <v>76</v>
      </c>
      <c r="G13" s="13"/>
      <c r="H13" s="13"/>
      <c r="I13" s="13"/>
      <c r="J13" s="12" t="str">
        <f aca="false">IF(I13="","",IF(H13="","-",IF(I13&lt;H13,"Faster",IF(I13=H13,"On time","Late"))))</f>
        <v/>
      </c>
      <c r="K13" s="12"/>
      <c r="L13" s="12" t="s">
        <v>77</v>
      </c>
      <c r="M13" s="12" t="s">
        <v>78</v>
      </c>
    </row>
    <row r="14" customFormat="false" ht="15" hidden="false" customHeight="false" outlineLevel="0" collapsed="false">
      <c r="A14" s="11" t="s">
        <v>15</v>
      </c>
      <c r="B14" s="12" t="s">
        <v>79</v>
      </c>
      <c r="C14" s="12" t="s">
        <v>40</v>
      </c>
      <c r="D14" s="12" t="s">
        <v>50</v>
      </c>
      <c r="E14" s="12" t="s">
        <v>80</v>
      </c>
      <c r="F14" s="12"/>
      <c r="G14" s="13"/>
      <c r="H14" s="13"/>
      <c r="I14" s="13"/>
      <c r="J14" s="12" t="str">
        <f aca="false">IF(I14="","",IF(H14="","-",IF(I14&lt;H14,"Faster",IF(I14=H14,"On time","Late"))))</f>
        <v/>
      </c>
      <c r="K14" s="12"/>
      <c r="L14" s="12" t="s">
        <v>81</v>
      </c>
      <c r="M14" s="12" t="s">
        <v>82</v>
      </c>
    </row>
    <row r="15" customFormat="false" ht="15" hidden="false" customHeight="false" outlineLevel="0" collapsed="false">
      <c r="A15" s="11" t="s">
        <v>16</v>
      </c>
      <c r="B15" s="12" t="s">
        <v>83</v>
      </c>
      <c r="C15" s="12" t="s">
        <v>34</v>
      </c>
      <c r="D15" s="12" t="s">
        <v>50</v>
      </c>
      <c r="E15" s="12" t="s">
        <v>84</v>
      </c>
      <c r="F15" s="12"/>
      <c r="G15" s="13"/>
      <c r="H15" s="13"/>
      <c r="I15" s="13"/>
      <c r="J15" s="12" t="str">
        <f aca="false">IF(I15="","",IF(H15="","-",IF(I15&lt;H15,"Faster",IF(I15=H15,"On time","Late"))))</f>
        <v/>
      </c>
      <c r="K15" s="12"/>
      <c r="L15" s="12" t="s">
        <v>85</v>
      </c>
      <c r="M15" s="12" t="s">
        <v>86</v>
      </c>
    </row>
    <row r="16" customFormat="false" ht="15" hidden="false" customHeight="false" outlineLevel="0" collapsed="false">
      <c r="A16" s="11" t="s">
        <v>16</v>
      </c>
      <c r="B16" s="12" t="s">
        <v>87</v>
      </c>
      <c r="C16" s="12" t="s">
        <v>34</v>
      </c>
      <c r="D16" s="12" t="s">
        <v>50</v>
      </c>
      <c r="E16" s="12" t="s">
        <v>84</v>
      </c>
      <c r="F16" s="12"/>
      <c r="G16" s="13"/>
      <c r="H16" s="13"/>
      <c r="I16" s="13"/>
      <c r="J16" s="12" t="str">
        <f aca="false">IF(I16="","",IF(H16="","-",IF(I16&lt;H16,"Faster",IF(I16=H16,"On time","Late"))))</f>
        <v/>
      </c>
      <c r="K16" s="12"/>
      <c r="L16" s="12" t="s">
        <v>88</v>
      </c>
      <c r="M16" s="12" t="s">
        <v>89</v>
      </c>
    </row>
    <row r="17" customFormat="false" ht="15" hidden="false" customHeight="false" outlineLevel="0" collapsed="false">
      <c r="A17" s="11" t="s">
        <v>16</v>
      </c>
      <c r="B17" s="12" t="s">
        <v>90</v>
      </c>
      <c r="C17" s="12" t="s">
        <v>34</v>
      </c>
      <c r="D17" s="12" t="s">
        <v>50</v>
      </c>
      <c r="E17" s="12" t="s">
        <v>91</v>
      </c>
      <c r="F17" s="12" t="s">
        <v>92</v>
      </c>
      <c r="G17" s="13"/>
      <c r="H17" s="13"/>
      <c r="I17" s="13"/>
      <c r="J17" s="12" t="str">
        <f aca="false">IF(I17="","",IF(H17="","-",IF(I17&lt;H17,"Faster",IF(I17=H17,"On time","Late"))))</f>
        <v/>
      </c>
      <c r="K17" s="12"/>
      <c r="L17" s="12" t="s">
        <v>93</v>
      </c>
      <c r="M17" s="12" t="s">
        <v>94</v>
      </c>
    </row>
    <row r="18" customFormat="false" ht="15" hidden="false" customHeight="false" outlineLevel="0" collapsed="false">
      <c r="A18" s="11" t="s">
        <v>16</v>
      </c>
      <c r="B18" s="12" t="s">
        <v>95</v>
      </c>
      <c r="C18" s="12" t="s">
        <v>34</v>
      </c>
      <c r="D18" s="12" t="s">
        <v>50</v>
      </c>
      <c r="E18" s="12" t="s">
        <v>84</v>
      </c>
      <c r="F18" s="12"/>
      <c r="G18" s="13"/>
      <c r="H18" s="13"/>
      <c r="I18" s="13"/>
      <c r="J18" s="12" t="str">
        <f aca="false">IF(I18="","",IF(H18="","-",IF(I18&lt;H18,"Faster",IF(I18=H18,"On time","Late"))))</f>
        <v/>
      </c>
      <c r="K18" s="12"/>
      <c r="L18" s="12" t="s">
        <v>96</v>
      </c>
      <c r="M18" s="12" t="s">
        <v>97</v>
      </c>
    </row>
    <row r="19" customFormat="false" ht="15" hidden="false" customHeight="false" outlineLevel="0" collapsed="false">
      <c r="A19" s="11" t="s">
        <v>16</v>
      </c>
      <c r="B19" s="12" t="s">
        <v>98</v>
      </c>
      <c r="C19" s="12" t="s">
        <v>34</v>
      </c>
      <c r="D19" s="12" t="s">
        <v>50</v>
      </c>
      <c r="E19" s="12" t="s">
        <v>99</v>
      </c>
      <c r="F19" s="12"/>
      <c r="G19" s="13"/>
      <c r="H19" s="13"/>
      <c r="I19" s="13"/>
      <c r="J19" s="12" t="str">
        <f aca="false">IF(I19="","",IF(H19="","-",IF(I19&lt;H19,"Faster",IF(I19=H19,"On time","Late"))))</f>
        <v/>
      </c>
      <c r="K19" s="12"/>
      <c r="L19" s="12" t="s">
        <v>100</v>
      </c>
      <c r="M19" s="12" t="s">
        <v>101</v>
      </c>
    </row>
    <row r="20" customFormat="false" ht="15" hidden="false" customHeight="false" outlineLevel="0" collapsed="false">
      <c r="A20" s="11" t="s">
        <v>12</v>
      </c>
      <c r="B20" s="12" t="s">
        <v>102</v>
      </c>
      <c r="C20" s="12" t="s">
        <v>34</v>
      </c>
      <c r="D20" s="12" t="s">
        <v>103</v>
      </c>
      <c r="E20" s="12" t="s">
        <v>36</v>
      </c>
      <c r="F20" s="12"/>
      <c r="G20" s="13"/>
      <c r="H20" s="13"/>
      <c r="I20" s="13"/>
      <c r="J20" s="12" t="str">
        <f aca="false">IF(I20="","",IF(H20="","-",IF(I20&lt;H20,"Faster",IF(I20=H20,"On time","Late"))))</f>
        <v/>
      </c>
      <c r="K20" s="12"/>
      <c r="L20" s="12" t="s">
        <v>104</v>
      </c>
      <c r="M20" s="12" t="s">
        <v>105</v>
      </c>
    </row>
    <row r="21" customFormat="false" ht="15" hidden="false" customHeight="false" outlineLevel="0" collapsed="false">
      <c r="A21" s="11" t="s">
        <v>12</v>
      </c>
      <c r="B21" s="12" t="s">
        <v>106</v>
      </c>
      <c r="C21" s="12" t="s">
        <v>34</v>
      </c>
      <c r="D21" s="12" t="s">
        <v>103</v>
      </c>
      <c r="E21" s="12" t="s">
        <v>36</v>
      </c>
      <c r="F21" s="12"/>
      <c r="G21" s="13"/>
      <c r="H21" s="13"/>
      <c r="I21" s="13"/>
      <c r="J21" s="12" t="str">
        <f aca="false">IF(I21="","",IF(H21="","-",IF(I21&lt;H21,"Faster",IF(I21=H21,"On time","Late"))))</f>
        <v/>
      </c>
      <c r="K21" s="12"/>
      <c r="L21" s="12" t="s">
        <v>107</v>
      </c>
      <c r="M21" s="12" t="s">
        <v>108</v>
      </c>
    </row>
    <row r="22" customFormat="false" ht="15" hidden="false" customHeight="false" outlineLevel="0" collapsed="false">
      <c r="A22" s="11" t="s">
        <v>12</v>
      </c>
      <c r="B22" s="12" t="s">
        <v>109</v>
      </c>
      <c r="C22" s="12" t="s">
        <v>34</v>
      </c>
      <c r="D22" s="12" t="s">
        <v>103</v>
      </c>
      <c r="E22" s="12" t="s">
        <v>36</v>
      </c>
      <c r="F22" s="12"/>
      <c r="G22" s="13"/>
      <c r="H22" s="13"/>
      <c r="I22" s="13"/>
      <c r="J22" s="12" t="str">
        <f aca="false">IF(I22="","",IF(H22="","-",IF(I22&lt;H22,"Faster",IF(I22=H22,"On time","Late"))))</f>
        <v/>
      </c>
      <c r="K22" s="12"/>
      <c r="L22" s="12" t="s">
        <v>110</v>
      </c>
      <c r="M22" s="12" t="s">
        <v>111</v>
      </c>
    </row>
    <row r="23" customFormat="false" ht="15" hidden="false" customHeight="false" outlineLevel="0" collapsed="false">
      <c r="A23" s="11" t="s">
        <v>12</v>
      </c>
      <c r="B23" s="12" t="s">
        <v>112</v>
      </c>
      <c r="C23" s="12" t="s">
        <v>34</v>
      </c>
      <c r="D23" s="12" t="s">
        <v>103</v>
      </c>
      <c r="E23" s="12" t="s">
        <v>113</v>
      </c>
      <c r="F23" s="12"/>
      <c r="G23" s="13"/>
      <c r="H23" s="13"/>
      <c r="I23" s="13"/>
      <c r="J23" s="12" t="str">
        <f aca="false">IF(I23="","",IF(H23="","-",IF(I23&lt;H23,"Faster",IF(I23=H23,"On time","Late"))))</f>
        <v/>
      </c>
      <c r="K23" s="12"/>
      <c r="L23" s="12" t="s">
        <v>114</v>
      </c>
      <c r="M23" s="12" t="s">
        <v>115</v>
      </c>
    </row>
    <row r="24" customFormat="false" ht="15" hidden="false" customHeight="false" outlineLevel="0" collapsed="false">
      <c r="A24" s="11" t="s">
        <v>13</v>
      </c>
      <c r="B24" s="12" t="s">
        <v>116</v>
      </c>
      <c r="C24" s="12" t="s">
        <v>34</v>
      </c>
      <c r="D24" s="12" t="s">
        <v>103</v>
      </c>
      <c r="E24" s="12" t="s">
        <v>117</v>
      </c>
      <c r="F24" s="12"/>
      <c r="G24" s="13"/>
      <c r="H24" s="13"/>
      <c r="I24" s="13"/>
      <c r="J24" s="12" t="str">
        <f aca="false">IF(I24="","",IF(H24="","-",IF(I24&lt;H24,"Faster",IF(I24=H24,"On time","Late"))))</f>
        <v/>
      </c>
      <c r="K24" s="12"/>
      <c r="L24" s="12" t="s">
        <v>118</v>
      </c>
      <c r="M24" s="12"/>
    </row>
    <row r="25" customFormat="false" ht="15" hidden="false" customHeight="false" outlineLevel="0" collapsed="false">
      <c r="A25" s="11" t="s">
        <v>13</v>
      </c>
      <c r="B25" s="12" t="s">
        <v>119</v>
      </c>
      <c r="C25" s="12" t="s">
        <v>34</v>
      </c>
      <c r="D25" s="12" t="s">
        <v>103</v>
      </c>
      <c r="E25" s="12" t="s">
        <v>56</v>
      </c>
      <c r="F25" s="12"/>
      <c r="G25" s="13"/>
      <c r="H25" s="13"/>
      <c r="I25" s="13"/>
      <c r="J25" s="12" t="str">
        <f aca="false">IF(I25="","",IF(H25="","-",IF(I25&lt;H25,"Faster",IF(I25=H25,"On time","Late"))))</f>
        <v/>
      </c>
      <c r="K25" s="12"/>
      <c r="L25" s="12" t="s">
        <v>120</v>
      </c>
      <c r="M25" s="12" t="s">
        <v>121</v>
      </c>
    </row>
    <row r="26" customFormat="false" ht="15" hidden="false" customHeight="false" outlineLevel="0" collapsed="false">
      <c r="A26" s="11" t="s">
        <v>13</v>
      </c>
      <c r="B26" s="12" t="s">
        <v>122</v>
      </c>
      <c r="C26" s="12" t="s">
        <v>34</v>
      </c>
      <c r="D26" s="12" t="s">
        <v>103</v>
      </c>
      <c r="E26" s="12" t="s">
        <v>56</v>
      </c>
      <c r="F26" s="12"/>
      <c r="G26" s="13"/>
      <c r="H26" s="13"/>
      <c r="I26" s="13"/>
      <c r="J26" s="12" t="str">
        <f aca="false">IF(I26="","",IF(H26="","-",IF(I26&lt;H26,"Faster",IF(I26=H26,"On time","Late"))))</f>
        <v/>
      </c>
      <c r="K26" s="12"/>
      <c r="L26" s="12" t="s">
        <v>123</v>
      </c>
      <c r="M26" s="12" t="s">
        <v>124</v>
      </c>
    </row>
    <row r="27" customFormat="false" ht="15" hidden="false" customHeight="false" outlineLevel="0" collapsed="false">
      <c r="A27" s="11" t="s">
        <v>13</v>
      </c>
      <c r="B27" s="12" t="s">
        <v>125</v>
      </c>
      <c r="C27" s="12" t="s">
        <v>34</v>
      </c>
      <c r="D27" s="12" t="s">
        <v>103</v>
      </c>
      <c r="E27" s="12" t="s">
        <v>56</v>
      </c>
      <c r="F27" s="12"/>
      <c r="G27" s="13"/>
      <c r="H27" s="13"/>
      <c r="I27" s="13"/>
      <c r="J27" s="12" t="str">
        <f aca="false">IF(I27="","",IF(H27="","-",IF(I27&lt;H27,"Faster",IF(I27=H27,"On time","Late"))))</f>
        <v/>
      </c>
      <c r="K27" s="12"/>
      <c r="L27" s="12" t="s">
        <v>126</v>
      </c>
      <c r="M27" s="12" t="s">
        <v>127</v>
      </c>
    </row>
    <row r="28" customFormat="false" ht="15" hidden="false" customHeight="false" outlineLevel="0" collapsed="false">
      <c r="A28" s="11" t="s">
        <v>13</v>
      </c>
      <c r="B28" s="12" t="s">
        <v>128</v>
      </c>
      <c r="C28" s="12" t="s">
        <v>129</v>
      </c>
      <c r="D28" s="12" t="s">
        <v>103</v>
      </c>
      <c r="E28" s="12" t="s">
        <v>56</v>
      </c>
      <c r="F28" s="12"/>
      <c r="G28" s="13"/>
      <c r="H28" s="13"/>
      <c r="I28" s="13"/>
      <c r="J28" s="12" t="str">
        <f aca="false">IF(I28="","",IF(H28="","-",IF(I28&lt;H28,"Faster",IF(I28=H28,"On time","Late"))))</f>
        <v/>
      </c>
      <c r="K28" s="12"/>
      <c r="L28" s="12" t="s">
        <v>130</v>
      </c>
      <c r="M28" s="12" t="s">
        <v>131</v>
      </c>
    </row>
    <row r="29" customFormat="false" ht="15" hidden="false" customHeight="false" outlineLevel="0" collapsed="false">
      <c r="A29" s="11" t="s">
        <v>13</v>
      </c>
      <c r="B29" s="12" t="s">
        <v>132</v>
      </c>
      <c r="C29" s="12" t="s">
        <v>129</v>
      </c>
      <c r="D29" s="12" t="s">
        <v>103</v>
      </c>
      <c r="E29" s="12" t="s">
        <v>56</v>
      </c>
      <c r="F29" s="12"/>
      <c r="G29" s="13"/>
      <c r="H29" s="13"/>
      <c r="I29" s="13"/>
      <c r="J29" s="12" t="str">
        <f aca="false">IF(I29="","",IF(H29="","-",IF(I29&lt;H29,"Faster",IF(I29=H29,"On time","Late"))))</f>
        <v/>
      </c>
      <c r="K29" s="12"/>
      <c r="L29" s="12" t="s">
        <v>133</v>
      </c>
      <c r="M29" s="12" t="s">
        <v>134</v>
      </c>
    </row>
    <row r="30" customFormat="false" ht="15" hidden="false" customHeight="false" outlineLevel="0" collapsed="false">
      <c r="A30" s="11" t="s">
        <v>13</v>
      </c>
      <c r="B30" s="12" t="s">
        <v>135</v>
      </c>
      <c r="C30" s="12" t="s">
        <v>129</v>
      </c>
      <c r="D30" s="12" t="s">
        <v>103</v>
      </c>
      <c r="E30" s="12" t="s">
        <v>113</v>
      </c>
      <c r="F30" s="12"/>
      <c r="G30" s="13"/>
      <c r="H30" s="13"/>
      <c r="I30" s="13"/>
      <c r="J30" s="12" t="str">
        <f aca="false">IF(I30="","",IF(H30="","-",IF(I30&lt;H30,"Faster",IF(I30=H30,"On time","Late"))))</f>
        <v/>
      </c>
      <c r="K30" s="12"/>
      <c r="L30" s="12" t="s">
        <v>136</v>
      </c>
      <c r="M30" s="12" t="s">
        <v>137</v>
      </c>
    </row>
    <row r="31" customFormat="false" ht="15" hidden="false" customHeight="false" outlineLevel="0" collapsed="false">
      <c r="A31" s="11" t="s">
        <v>14</v>
      </c>
      <c r="B31" s="12" t="s">
        <v>138</v>
      </c>
      <c r="C31" s="12" t="s">
        <v>34</v>
      </c>
      <c r="D31" s="12" t="s">
        <v>103</v>
      </c>
      <c r="E31" s="12" t="s">
        <v>139</v>
      </c>
      <c r="F31" s="12"/>
      <c r="G31" s="13"/>
      <c r="H31" s="13"/>
      <c r="I31" s="13"/>
      <c r="J31" s="12" t="str">
        <f aca="false">IF(I31="","",IF(H31="","-",IF(I31&lt;H31,"Faster",IF(I31=H31,"On time","Late"))))</f>
        <v/>
      </c>
      <c r="K31" s="12"/>
      <c r="L31" s="12" t="s">
        <v>140</v>
      </c>
      <c r="M31" s="12"/>
    </row>
    <row r="32" customFormat="false" ht="15" hidden="false" customHeight="false" outlineLevel="0" collapsed="false">
      <c r="A32" s="11" t="s">
        <v>16</v>
      </c>
      <c r="B32" s="12" t="s">
        <v>141</v>
      </c>
      <c r="C32" s="12" t="s">
        <v>129</v>
      </c>
      <c r="D32" s="12" t="s">
        <v>103</v>
      </c>
      <c r="E32" s="12" t="s">
        <v>84</v>
      </c>
      <c r="F32" s="12" t="s">
        <v>142</v>
      </c>
      <c r="G32" s="13"/>
      <c r="H32" s="13"/>
      <c r="I32" s="13"/>
      <c r="J32" s="12" t="str">
        <f aca="false">IF(I32="","",IF(H32="","-",IF(I32&lt;H32,"Faster",IF(I32=H32,"On time","Late"))))</f>
        <v/>
      </c>
      <c r="K32" s="12"/>
      <c r="L32" s="12" t="s">
        <v>143</v>
      </c>
      <c r="M32" s="12" t="s">
        <v>144</v>
      </c>
    </row>
    <row r="33" customFormat="false" ht="15" hidden="false" customHeight="false" outlineLevel="0" collapsed="false">
      <c r="A33" s="11" t="s">
        <v>16</v>
      </c>
      <c r="B33" s="12" t="s">
        <v>145</v>
      </c>
      <c r="C33" s="12" t="s">
        <v>129</v>
      </c>
      <c r="D33" s="12" t="s">
        <v>103</v>
      </c>
      <c r="E33" s="12" t="s">
        <v>84</v>
      </c>
      <c r="F33" s="12"/>
      <c r="G33" s="13"/>
      <c r="H33" s="13"/>
      <c r="I33" s="13"/>
      <c r="J33" s="12" t="str">
        <f aca="false">IF(I33="","",IF(H33="","-",IF(I33&lt;H33,"Faster",IF(I33=H33,"On time","Late"))))</f>
        <v/>
      </c>
      <c r="K33" s="12"/>
      <c r="L33" s="12" t="s">
        <v>146</v>
      </c>
      <c r="M33" s="12" t="s">
        <v>147</v>
      </c>
    </row>
    <row r="34" customFormat="false" ht="15" hidden="false" customHeight="false" outlineLevel="0" collapsed="false">
      <c r="A34" s="11" t="s">
        <v>16</v>
      </c>
      <c r="B34" s="12" t="s">
        <v>148</v>
      </c>
      <c r="C34" s="12" t="s">
        <v>129</v>
      </c>
      <c r="D34" s="12" t="s">
        <v>103</v>
      </c>
      <c r="E34" s="12" t="s">
        <v>84</v>
      </c>
      <c r="F34" s="12"/>
      <c r="G34" s="13"/>
      <c r="H34" s="13"/>
      <c r="I34" s="13"/>
      <c r="J34" s="12" t="str">
        <f aca="false">IF(I34="","",IF(H34="","-",IF(I34&lt;H34,"Faster",IF(I34=H34,"On time","Late"))))</f>
        <v/>
      </c>
      <c r="K34" s="12"/>
      <c r="L34" s="12" t="s">
        <v>149</v>
      </c>
      <c r="M34" s="12" t="s">
        <v>150</v>
      </c>
    </row>
    <row r="35" customFormat="false" ht="15" hidden="false" customHeight="false" outlineLevel="0" collapsed="false">
      <c r="A35" s="11" t="s">
        <v>12</v>
      </c>
      <c r="B35" s="12" t="s">
        <v>151</v>
      </c>
      <c r="C35" s="12" t="s">
        <v>34</v>
      </c>
      <c r="D35" s="12" t="s">
        <v>152</v>
      </c>
      <c r="E35" s="12" t="s">
        <v>36</v>
      </c>
      <c r="F35" s="12"/>
      <c r="G35" s="13"/>
      <c r="H35" s="13"/>
      <c r="I35" s="13"/>
      <c r="J35" s="12" t="str">
        <f aca="false">IF(I35="","",IF(H35="","-",IF(I35&lt;H35,"Faster",IF(I35=H35,"On time","Late"))))</f>
        <v/>
      </c>
      <c r="K35" s="12"/>
      <c r="L35" s="12" t="s">
        <v>153</v>
      </c>
      <c r="M35" s="12"/>
    </row>
    <row r="36" customFormat="false" ht="15" hidden="false" customHeight="false" outlineLevel="0" collapsed="false">
      <c r="A36" s="11" t="s">
        <v>12</v>
      </c>
      <c r="B36" s="12" t="s">
        <v>154</v>
      </c>
      <c r="C36" s="12" t="s">
        <v>155</v>
      </c>
      <c r="D36" s="12" t="s">
        <v>35</v>
      </c>
      <c r="E36" s="12" t="s">
        <v>36</v>
      </c>
      <c r="F36" s="12"/>
      <c r="G36" s="13"/>
      <c r="H36" s="13"/>
      <c r="I36" s="13" t="n">
        <v>46206</v>
      </c>
      <c r="J36" s="12" t="str">
        <f aca="false">IF(I36="","",IF(H36="","-",IF(I36&lt;H36,"Faster",IF(I36=H36,"On time","Late"))))</f>
        <v>-</v>
      </c>
      <c r="K36" s="12"/>
      <c r="L36" s="12" t="s">
        <v>156</v>
      </c>
      <c r="M36" s="12" t="s">
        <v>157</v>
      </c>
    </row>
    <row r="37" customFormat="false" ht="15" hidden="false" customHeight="false" outlineLevel="0" collapsed="false">
      <c r="A37" s="11" t="s">
        <v>12</v>
      </c>
      <c r="B37" s="12" t="s">
        <v>158</v>
      </c>
      <c r="C37" s="12" t="s">
        <v>155</v>
      </c>
      <c r="D37" s="12" t="s">
        <v>35</v>
      </c>
      <c r="E37" s="12" t="s">
        <v>36</v>
      </c>
      <c r="F37" s="12"/>
      <c r="G37" s="13"/>
      <c r="H37" s="13"/>
      <c r="I37" s="13"/>
      <c r="J37" s="12" t="str">
        <f aca="false">IF(I37="","",IF(H37="","-",IF(I37&lt;H37,"Faster",IF(I37=H37,"On time","Late"))))</f>
        <v/>
      </c>
      <c r="K37" s="12"/>
      <c r="L37" s="12" t="s">
        <v>159</v>
      </c>
      <c r="M37" s="12"/>
    </row>
    <row r="38" customFormat="false" ht="15" hidden="false" customHeight="false" outlineLevel="0" collapsed="false">
      <c r="A38" s="11" t="s">
        <v>12</v>
      </c>
      <c r="B38" s="12" t="s">
        <v>160</v>
      </c>
      <c r="C38" s="12" t="s">
        <v>155</v>
      </c>
      <c r="D38" s="12" t="s">
        <v>35</v>
      </c>
      <c r="E38" s="12" t="s">
        <v>36</v>
      </c>
      <c r="F38" s="12"/>
      <c r="G38" s="13"/>
      <c r="H38" s="13"/>
      <c r="I38" s="13" t="n">
        <v>46219</v>
      </c>
      <c r="J38" s="12" t="str">
        <f aca="false">IF(I38="","",IF(H38="","-",IF(I38&lt;H38,"Faster",IF(I38=H38,"On time","Late"))))</f>
        <v>-</v>
      </c>
      <c r="K38" s="12"/>
      <c r="L38" s="12" t="s">
        <v>161</v>
      </c>
      <c r="M38" s="12"/>
    </row>
    <row r="39" customFormat="false" ht="15" hidden="false" customHeight="false" outlineLevel="0" collapsed="false">
      <c r="A39" s="11" t="s">
        <v>12</v>
      </c>
      <c r="B39" s="12" t="s">
        <v>162</v>
      </c>
      <c r="C39" s="12" t="s">
        <v>155</v>
      </c>
      <c r="D39" s="12" t="s">
        <v>50</v>
      </c>
      <c r="E39" s="12" t="s">
        <v>36</v>
      </c>
      <c r="F39" s="12"/>
      <c r="G39" s="13"/>
      <c r="H39" s="13"/>
      <c r="I39" s="13"/>
      <c r="J39" s="12" t="str">
        <f aca="false">IF(I39="","",IF(H39="","-",IF(I39&lt;H39,"Faster",IF(I39=H39,"On time","Late"))))</f>
        <v/>
      </c>
      <c r="K39" s="12"/>
      <c r="L39" s="12" t="s">
        <v>163</v>
      </c>
      <c r="M39" s="12" t="s">
        <v>164</v>
      </c>
    </row>
    <row r="40" customFormat="false" ht="15" hidden="false" customHeight="false" outlineLevel="0" collapsed="false">
      <c r="A40" s="11" t="s">
        <v>14</v>
      </c>
      <c r="B40" s="12" t="s">
        <v>165</v>
      </c>
      <c r="C40" s="12" t="s">
        <v>155</v>
      </c>
      <c r="D40" s="12" t="s">
        <v>50</v>
      </c>
      <c r="E40" s="12" t="s">
        <v>139</v>
      </c>
      <c r="F40" s="12"/>
      <c r="G40" s="13"/>
      <c r="H40" s="13"/>
      <c r="I40" s="13" t="n">
        <v>46213</v>
      </c>
      <c r="J40" s="12" t="str">
        <f aca="false">IF(I40="","",IF(H40="","-",IF(I40&lt;H40,"Faster",IF(I40=H40,"On time","Late"))))</f>
        <v>-</v>
      </c>
      <c r="K40" s="12"/>
      <c r="L40" s="12" t="s">
        <v>166</v>
      </c>
      <c r="M40" s="12"/>
    </row>
    <row r="41" customFormat="false" ht="15" hidden="false" customHeight="false" outlineLevel="0" collapsed="false">
      <c r="A41" s="11" t="s">
        <v>13</v>
      </c>
      <c r="B41" s="12" t="s">
        <v>167</v>
      </c>
      <c r="C41" s="12" t="s">
        <v>168</v>
      </c>
      <c r="D41" s="12" t="s">
        <v>152</v>
      </c>
      <c r="E41" s="12" t="s">
        <v>56</v>
      </c>
      <c r="F41" s="12"/>
      <c r="G41" s="13"/>
      <c r="H41" s="13"/>
      <c r="I41" s="13"/>
      <c r="J41" s="12" t="str">
        <f aca="false">IF(I41="","",IF(H41="","-",IF(I41&lt;H41,"Faster",IF(I41=H41,"On time","Late"))))</f>
        <v/>
      </c>
      <c r="K41" s="12"/>
      <c r="L41" s="12" t="s">
        <v>169</v>
      </c>
      <c r="M41" s="12" t="s">
        <v>170</v>
      </c>
    </row>
    <row r="42" customFormat="false" ht="15" hidden="false" customHeight="false" outlineLevel="0" collapsed="false">
      <c r="A42" s="11" t="s">
        <v>13</v>
      </c>
      <c r="B42" s="12" t="s">
        <v>171</v>
      </c>
      <c r="C42" s="12" t="s">
        <v>168</v>
      </c>
      <c r="D42" s="12" t="s">
        <v>152</v>
      </c>
      <c r="E42" s="12" t="s">
        <v>56</v>
      </c>
      <c r="F42" s="12"/>
      <c r="G42" s="13"/>
      <c r="H42" s="13"/>
      <c r="I42" s="13"/>
      <c r="J42" s="12" t="str">
        <f aca="false">IF(I42="","",IF(H42="","-",IF(I42&lt;H42,"Faster",IF(I42=H42,"On time","Late"))))</f>
        <v/>
      </c>
      <c r="K42" s="12"/>
      <c r="L42" s="12" t="s">
        <v>172</v>
      </c>
      <c r="M42" s="1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21.75" hidden="false" customHeight="true" outlineLevel="0" collapsed="false">
      <c r="A4" s="10" t="s">
        <v>176</v>
      </c>
      <c r="B4" s="10" t="s">
        <v>177</v>
      </c>
      <c r="C4" s="10" t="s">
        <v>178</v>
      </c>
      <c r="D4" s="10" t="s">
        <v>179</v>
      </c>
      <c r="E4" s="10" t="s">
        <v>180</v>
      </c>
      <c r="F4" s="10" t="s">
        <v>181</v>
      </c>
      <c r="G4" s="10" t="s">
        <v>23</v>
      </c>
      <c r="H4" s="10" t="s">
        <v>182</v>
      </c>
    </row>
    <row r="5" customFormat="false" ht="23.85" hidden="false" customHeight="false" outlineLevel="0" collapsed="false">
      <c r="A5" s="14" t="n">
        <v>46223</v>
      </c>
      <c r="B5" s="15" t="s">
        <v>13</v>
      </c>
      <c r="C5" s="16" t="s">
        <v>183</v>
      </c>
      <c r="D5" s="16" t="s">
        <v>184</v>
      </c>
      <c r="E5" s="16" t="s">
        <v>50</v>
      </c>
      <c r="F5" s="16" t="str">
        <f aca="false">IF(OR(D5="",E5=""),"",IF(AND(D5="Easy",E5="High"),"P1 do now",IF(E5="High","P2 plan",IF(D5="Easy","P3 quick win","P4 later"))))</f>
        <v>P1 do now</v>
      </c>
      <c r="G5" s="16" t="s">
        <v>185</v>
      </c>
      <c r="H5" s="16" t="s">
        <v>186</v>
      </c>
    </row>
    <row r="6" customFormat="false" ht="15" hidden="false" customHeight="false" outlineLevel="0" collapsed="false">
      <c r="A6" s="14"/>
      <c r="B6" s="16"/>
      <c r="C6" s="16"/>
      <c r="D6" s="16"/>
      <c r="E6" s="16"/>
      <c r="F6" s="16" t="str">
        <f aca="false">IF(OR(D6="",E6=""),"",IF(AND(D6="Easy",E6="High"),"P1 do now",IF(E6="High","P2 plan",IF(D6="Easy","P3 quick win","P4 later"))))</f>
        <v/>
      </c>
      <c r="G6" s="16"/>
      <c r="H6" s="16"/>
    </row>
    <row r="7" customFormat="false" ht="15" hidden="false" customHeight="false" outlineLevel="0" collapsed="false">
      <c r="A7" s="14"/>
      <c r="B7" s="16"/>
      <c r="C7" s="16"/>
      <c r="D7" s="16"/>
      <c r="E7" s="16"/>
      <c r="F7" s="16" t="str">
        <f aca="false">IF(OR(D7="",E7=""),"",IF(AND(D7="Easy",E7="High"),"P1 do now",IF(E7="High","P2 plan",IF(D7="Easy","P3 quick win","P4 later"))))</f>
        <v/>
      </c>
      <c r="G7" s="16"/>
      <c r="H7" s="16"/>
    </row>
    <row r="8" customFormat="false" ht="15" hidden="false" customHeight="false" outlineLevel="0" collapsed="false">
      <c r="A8" s="14"/>
      <c r="B8" s="16"/>
      <c r="C8" s="16"/>
      <c r="D8" s="16"/>
      <c r="E8" s="16"/>
      <c r="F8" s="16" t="str">
        <f aca="false">IF(OR(D8="",E8=""),"",IF(AND(D8="Easy",E8="High"),"P1 do now",IF(E8="High","P2 plan",IF(D8="Easy","P3 quick win","P4 later"))))</f>
        <v/>
      </c>
      <c r="G8" s="16"/>
      <c r="H8" s="16"/>
    </row>
    <row r="9" customFormat="false" ht="15" hidden="false" customHeight="false" outlineLevel="0" collapsed="false">
      <c r="A9" s="14"/>
      <c r="B9" s="16"/>
      <c r="C9" s="16"/>
      <c r="D9" s="16"/>
      <c r="E9" s="16"/>
      <c r="F9" s="16" t="str">
        <f aca="false">IF(OR(D9="",E9=""),"",IF(AND(D9="Easy",E9="High"),"P1 do now",IF(E9="High","P2 plan",IF(D9="Easy","P3 quick win","P4 later"))))</f>
        <v/>
      </c>
      <c r="G9" s="16"/>
      <c r="H9" s="16"/>
    </row>
    <row r="10" customFormat="false" ht="15" hidden="false" customHeight="false" outlineLevel="0" collapsed="false">
      <c r="A10" s="14"/>
      <c r="B10" s="16"/>
      <c r="C10" s="16"/>
      <c r="D10" s="16"/>
      <c r="E10" s="16"/>
      <c r="F10" s="16" t="str">
        <f aca="false">IF(OR(D10="",E10=""),"",IF(AND(D10="Easy",E10="High"),"P1 do now",IF(E10="High","P2 plan",IF(D10="Easy","P3 quick win","P4 later"))))</f>
        <v/>
      </c>
      <c r="G10" s="16"/>
      <c r="H10" s="16"/>
    </row>
    <row r="11" customFormat="false" ht="15" hidden="false" customHeight="false" outlineLevel="0" collapsed="false">
      <c r="A11" s="14"/>
      <c r="B11" s="16"/>
      <c r="C11" s="16"/>
      <c r="D11" s="16"/>
      <c r="E11" s="16"/>
      <c r="F11" s="16" t="str">
        <f aca="false">IF(OR(D11="",E11=""),"",IF(AND(D11="Easy",E11="High"),"P1 do now",IF(E11="High","P2 plan",IF(D11="Easy","P3 quick win","P4 later"))))</f>
        <v/>
      </c>
      <c r="G11" s="16"/>
      <c r="H11" s="16"/>
    </row>
    <row r="12" customFormat="false" ht="15" hidden="false" customHeight="false" outlineLevel="0" collapsed="false">
      <c r="A12" s="14"/>
      <c r="B12" s="16"/>
      <c r="C12" s="16"/>
      <c r="D12" s="16"/>
      <c r="E12" s="16"/>
      <c r="F12" s="16" t="str">
        <f aca="false">IF(OR(D12="",E12=""),"",IF(AND(D12="Easy",E12="High"),"P1 do now",IF(E12="High","P2 plan",IF(D12="Easy","P3 quick win","P4 later"))))</f>
        <v/>
      </c>
      <c r="G12" s="16"/>
      <c r="H12" s="16"/>
    </row>
    <row r="13" customFormat="false" ht="15" hidden="false" customHeight="false" outlineLevel="0" collapsed="false">
      <c r="A13" s="14"/>
      <c r="B13" s="16"/>
      <c r="C13" s="16"/>
      <c r="D13" s="16"/>
      <c r="E13" s="16"/>
      <c r="F13" s="16" t="str">
        <f aca="false">IF(OR(D13="",E13=""),"",IF(AND(D13="Easy",E13="High"),"P1 do now",IF(E13="High","P2 plan",IF(D13="Easy","P3 quick win","P4 later"))))</f>
        <v/>
      </c>
      <c r="G13" s="16"/>
      <c r="H13" s="16"/>
    </row>
    <row r="14" customFormat="false" ht="15" hidden="false" customHeight="false" outlineLevel="0" collapsed="false">
      <c r="A14" s="14"/>
      <c r="B14" s="16"/>
      <c r="C14" s="16"/>
      <c r="D14" s="16"/>
      <c r="E14" s="16"/>
      <c r="F14" s="16" t="str">
        <f aca="false">IF(OR(D14="",E14=""),"",IF(AND(D14="Easy",E14="High"),"P1 do now",IF(E14="High","P2 plan",IF(D14="Easy","P3 quick win","P4 later"))))</f>
        <v/>
      </c>
      <c r="G14" s="16"/>
      <c r="H14" s="16"/>
    </row>
    <row r="15" customFormat="false" ht="15" hidden="false" customHeight="false" outlineLevel="0" collapsed="false">
      <c r="A15" s="14"/>
      <c r="B15" s="16"/>
      <c r="C15" s="16"/>
      <c r="D15" s="16"/>
      <c r="E15" s="16"/>
      <c r="F15" s="16" t="str">
        <f aca="false">IF(OR(D15="",E15=""),"",IF(AND(D15="Easy",E15="High"),"P1 do now",IF(E15="High","P2 plan",IF(D15="Easy","P3 quick win","P4 later"))))</f>
        <v/>
      </c>
      <c r="G15" s="16"/>
      <c r="H15" s="16"/>
    </row>
    <row r="16" customFormat="false" ht="15" hidden="false" customHeight="false" outlineLevel="0" collapsed="false">
      <c r="A16" s="14"/>
      <c r="B16" s="16"/>
      <c r="C16" s="16"/>
      <c r="D16" s="16"/>
      <c r="E16" s="16"/>
      <c r="F16" s="16" t="str">
        <f aca="false">IF(OR(D16="",E16=""),"",IF(AND(D16="Easy",E16="High"),"P1 do now",IF(E16="High","P2 plan",IF(D16="Easy","P3 quick win","P4 later"))))</f>
        <v/>
      </c>
      <c r="G16" s="16"/>
      <c r="H16" s="16"/>
    </row>
    <row r="17" customFormat="false" ht="15" hidden="false" customHeight="false" outlineLevel="0" collapsed="false">
      <c r="A17" s="14"/>
      <c r="B17" s="16"/>
      <c r="C17" s="16"/>
      <c r="D17" s="16"/>
      <c r="E17" s="16"/>
      <c r="F17" s="16" t="str">
        <f aca="false">IF(OR(D17="",E17=""),"",IF(AND(D17="Easy",E17="High"),"P1 do now",IF(E17="High","P2 plan",IF(D17="Easy","P3 quick win","P4 later"))))</f>
        <v/>
      </c>
      <c r="G17" s="16"/>
      <c r="H17" s="16"/>
    </row>
    <row r="18" customFormat="false" ht="15" hidden="false" customHeight="false" outlineLevel="0" collapsed="false">
      <c r="A18" s="14"/>
      <c r="B18" s="16"/>
      <c r="C18" s="16"/>
      <c r="D18" s="16"/>
      <c r="E18" s="16"/>
      <c r="F18" s="16" t="str">
        <f aca="false">IF(OR(D18="",E18=""),"",IF(AND(D18="Easy",E18="High"),"P1 do now",IF(E18="High","P2 plan",IF(D18="Easy","P3 quick win","P4 later"))))</f>
        <v/>
      </c>
      <c r="G18" s="16"/>
      <c r="H18" s="16"/>
    </row>
    <row r="19" customFormat="false" ht="15" hidden="false" customHeight="false" outlineLevel="0" collapsed="false">
      <c r="A19" s="14"/>
      <c r="B19" s="16"/>
      <c r="C19" s="16"/>
      <c r="D19" s="16"/>
      <c r="E19" s="16"/>
      <c r="F19" s="16" t="str">
        <f aca="false">IF(OR(D19="",E19=""),"",IF(AND(D19="Easy",E19="High"),"P1 do now",IF(E19="High","P2 plan",IF(D19="Easy","P3 quick win","P4 later"))))</f>
        <v/>
      </c>
      <c r="G19" s="16"/>
      <c r="H19" s="16"/>
    </row>
    <row r="20" customFormat="false" ht="15" hidden="false" customHeight="false" outlineLevel="0" collapsed="false">
      <c r="A20" s="14"/>
      <c r="B20" s="16"/>
      <c r="C20" s="16"/>
      <c r="D20" s="16"/>
      <c r="E20" s="16"/>
      <c r="F20" s="16" t="str">
        <f aca="false">IF(OR(D20="",E20=""),"",IF(AND(D20="Easy",E20="High"),"P1 do now",IF(E20="High","P2 plan",IF(D20="Easy","P3 quick win","P4 later"))))</f>
        <v/>
      </c>
      <c r="G20" s="16"/>
      <c r="H20" s="16"/>
    </row>
    <row r="21" customFormat="false" ht="15" hidden="false" customHeight="false" outlineLevel="0" collapsed="false">
      <c r="A21" s="14"/>
      <c r="B21" s="16"/>
      <c r="C21" s="16"/>
      <c r="D21" s="16"/>
      <c r="E21" s="16"/>
      <c r="F21" s="16" t="str">
        <f aca="false">IF(OR(D21="",E21=""),"",IF(AND(D21="Easy",E21="High"),"P1 do now",IF(E21="High","P2 plan",IF(D21="Easy","P3 quick win","P4 later"))))</f>
        <v/>
      </c>
      <c r="G21" s="16"/>
      <c r="H21" s="16"/>
    </row>
    <row r="22" customFormat="false" ht="15" hidden="false" customHeight="false" outlineLevel="0" collapsed="false">
      <c r="A22" s="14"/>
      <c r="B22" s="16"/>
      <c r="C22" s="16"/>
      <c r="D22" s="16"/>
      <c r="E22" s="16"/>
      <c r="F22" s="16" t="str">
        <f aca="false">IF(OR(D22="",E22=""),"",IF(AND(D22="Easy",E22="High"),"P1 do now",IF(E22="High","P2 plan",IF(D22="Easy","P3 quick win","P4 later"))))</f>
        <v/>
      </c>
      <c r="G22" s="16"/>
      <c r="H22" s="16"/>
    </row>
    <row r="23" customFormat="false" ht="15" hidden="false" customHeight="false" outlineLevel="0" collapsed="false">
      <c r="A23" s="14"/>
      <c r="B23" s="16"/>
      <c r="C23" s="16"/>
      <c r="D23" s="16"/>
      <c r="E23" s="16"/>
      <c r="F23" s="16" t="str">
        <f aca="false">IF(OR(D23="",E23=""),"",IF(AND(D23="Easy",E23="High"),"P1 do now",IF(E23="High","P2 plan",IF(D23="Easy","P3 quick win","P4 later"))))</f>
        <v/>
      </c>
      <c r="G23" s="16"/>
      <c r="H23" s="16"/>
    </row>
    <row r="24" customFormat="false" ht="15" hidden="false" customHeight="false" outlineLevel="0" collapsed="false">
      <c r="A24" s="14"/>
      <c r="B24" s="16"/>
      <c r="C24" s="16"/>
      <c r="D24" s="16"/>
      <c r="E24" s="16"/>
      <c r="F24" s="16" t="str">
        <f aca="false">IF(OR(D24="",E24=""),"",IF(AND(D24="Easy",E24="High"),"P1 do now",IF(E24="High","P2 plan",IF(D24="Easy","P3 quick win","P4 later"))))</f>
        <v/>
      </c>
      <c r="G24" s="16"/>
      <c r="H24" s="16"/>
    </row>
    <row r="25" customFormat="false" ht="15" hidden="false" customHeight="false" outlineLevel="0" collapsed="false">
      <c r="A25" s="14"/>
      <c r="B25" s="16"/>
      <c r="C25" s="16"/>
      <c r="D25" s="16"/>
      <c r="E25" s="16"/>
      <c r="F25" s="16" t="str">
        <f aca="false">IF(OR(D25="",E25=""),"",IF(AND(D25="Easy",E25="High"),"P1 do now",IF(E25="High","P2 plan",IF(D25="Easy","P3 quick win","P4 later"))))</f>
        <v/>
      </c>
      <c r="G25" s="16"/>
      <c r="H25" s="16"/>
    </row>
    <row r="26" customFormat="false" ht="15" hidden="false" customHeight="false" outlineLevel="0" collapsed="false">
      <c r="A26" s="14"/>
      <c r="B26" s="16"/>
      <c r="C26" s="16"/>
      <c r="D26" s="16"/>
      <c r="E26" s="16"/>
      <c r="F26" s="16" t="str">
        <f aca="false">IF(OR(D26="",E26=""),"",IF(AND(D26="Easy",E26="High"),"P1 do now",IF(E26="High","P2 plan",IF(D26="Easy","P3 quick win","P4 later"))))</f>
        <v/>
      </c>
      <c r="G26" s="16"/>
      <c r="H26" s="16"/>
    </row>
    <row r="27" customFormat="false" ht="15" hidden="false" customHeight="false" outlineLevel="0" collapsed="false">
      <c r="A27" s="14"/>
      <c r="B27" s="16"/>
      <c r="C27" s="16"/>
      <c r="D27" s="16"/>
      <c r="E27" s="16"/>
      <c r="F27" s="16" t="str">
        <f aca="false">IF(OR(D27="",E27=""),"",IF(AND(D27="Easy",E27="High"),"P1 do now",IF(E27="High","P2 plan",IF(D27="Easy","P3 quick win","P4 later"))))</f>
        <v/>
      </c>
      <c r="G27" s="16"/>
      <c r="H27" s="16"/>
    </row>
    <row r="28" customFormat="false" ht="15" hidden="false" customHeight="false" outlineLevel="0" collapsed="false">
      <c r="A28" s="14"/>
      <c r="B28" s="16"/>
      <c r="C28" s="16"/>
      <c r="D28" s="16"/>
      <c r="E28" s="16"/>
      <c r="F28" s="16" t="str">
        <f aca="false">IF(OR(D28="",E28=""),"",IF(AND(D28="Easy",E28="High"),"P1 do now",IF(E28="High","P2 plan",IF(D28="Easy","P3 quick win","P4 later"))))</f>
        <v/>
      </c>
      <c r="G28" s="16"/>
      <c r="H28" s="16"/>
    </row>
    <row r="29" customFormat="false" ht="15" hidden="false" customHeight="false" outlineLevel="0" collapsed="false">
      <c r="A29" s="14"/>
      <c r="B29" s="16"/>
      <c r="C29" s="16"/>
      <c r="D29" s="16"/>
      <c r="E29" s="16"/>
      <c r="F29" s="16" t="str">
        <f aca="false">IF(OR(D29="",E29=""),"",IF(AND(D29="Easy",E29="High"),"P1 do now",IF(E29="High","P2 plan",IF(D29="Easy","P3 quick win","P4 later"))))</f>
        <v/>
      </c>
      <c r="G29" s="16"/>
      <c r="H29" s="16"/>
    </row>
    <row r="30" customFormat="false" ht="15" hidden="false" customHeight="false" outlineLevel="0" collapsed="false">
      <c r="A30" s="14"/>
      <c r="B30" s="16"/>
      <c r="C30" s="16"/>
      <c r="D30" s="16"/>
      <c r="E30" s="16"/>
      <c r="F30" s="16" t="str">
        <f aca="false">IF(OR(D30="",E30=""),"",IF(AND(D30="Easy",E30="High"),"P1 do now",IF(E30="High","P2 plan",IF(D30="Easy","P3 quick win","P4 later"))))</f>
        <v/>
      </c>
      <c r="G30" s="16"/>
      <c r="H30" s="16"/>
    </row>
    <row r="31" customFormat="false" ht="15" hidden="false" customHeight="false" outlineLevel="0" collapsed="false">
      <c r="A31" s="14"/>
      <c r="B31" s="16"/>
      <c r="C31" s="16"/>
      <c r="D31" s="16"/>
      <c r="E31" s="16"/>
      <c r="F31" s="16" t="str">
        <f aca="false">IF(OR(D31="",E31=""),"",IF(AND(D31="Easy",E31="High"),"P1 do now",IF(E31="High","P2 plan",IF(D31="Easy","P3 quick win","P4 later"))))</f>
        <v/>
      </c>
      <c r="G31" s="16"/>
      <c r="H31" s="16"/>
    </row>
    <row r="32" customFormat="false" ht="15" hidden="false" customHeight="false" outlineLevel="0" collapsed="false">
      <c r="A32" s="14"/>
      <c r="B32" s="16"/>
      <c r="C32" s="16"/>
      <c r="D32" s="16"/>
      <c r="E32" s="16"/>
      <c r="F32" s="16" t="str">
        <f aca="false">IF(OR(D32="",E32=""),"",IF(AND(D32="Easy",E32="High"),"P1 do now",IF(E32="High","P2 plan",IF(D32="Easy","P3 quick win","P4 later"))))</f>
        <v/>
      </c>
      <c r="G32" s="16"/>
      <c r="H32" s="16"/>
    </row>
    <row r="33" customFormat="false" ht="15" hidden="false" customHeight="false" outlineLevel="0" collapsed="false">
      <c r="A33" s="14"/>
      <c r="B33" s="16"/>
      <c r="C33" s="16"/>
      <c r="D33" s="16"/>
      <c r="E33" s="16"/>
      <c r="F33" s="16" t="str">
        <f aca="false">IF(OR(D33="",E33=""),"",IF(AND(D33="Easy",E33="High"),"P1 do now",IF(E33="High","P2 plan",IF(D33="Easy","P3 quick win","P4 later"))))</f>
        <v/>
      </c>
      <c r="G33" s="16"/>
      <c r="H33" s="16"/>
    </row>
    <row r="34" customFormat="false" ht="15" hidden="false" customHeight="false" outlineLevel="0" collapsed="false">
      <c r="A34" s="14"/>
      <c r="B34" s="16"/>
      <c r="C34" s="16"/>
      <c r="D34" s="16"/>
      <c r="E34" s="16"/>
      <c r="F34" s="16" t="str">
        <f aca="false">IF(OR(D34="",E34=""),"",IF(AND(D34="Easy",E34="High"),"P1 do now",IF(E34="High","P2 plan",IF(D34="Easy","P3 quick win","P4 later"))))</f>
        <v/>
      </c>
      <c r="G34" s="16"/>
      <c r="H34" s="16"/>
    </row>
    <row r="35" customFormat="false" ht="15" hidden="false" customHeight="false" outlineLevel="0" collapsed="false">
      <c r="A35" s="14"/>
      <c r="B35" s="16"/>
      <c r="C35" s="16"/>
      <c r="D35" s="16"/>
      <c r="E35" s="16"/>
      <c r="F35" s="16" t="str">
        <f aca="false">IF(OR(D35="",E35=""),"",IF(AND(D35="Easy",E35="High"),"P1 do now",IF(E35="High","P2 plan",IF(D35="Easy","P3 quick win","P4 later"))))</f>
        <v/>
      </c>
      <c r="G35" s="16"/>
      <c r="H35" s="16"/>
    </row>
    <row r="36" customFormat="false" ht="15" hidden="false" customHeight="false" outlineLevel="0" collapsed="false">
      <c r="A36" s="14"/>
      <c r="B36" s="16"/>
      <c r="C36" s="16"/>
      <c r="D36" s="16"/>
      <c r="E36" s="16"/>
      <c r="F36" s="16" t="str">
        <f aca="false">IF(OR(D36="",E36=""),"",IF(AND(D36="Easy",E36="High"),"P1 do now",IF(E36="High","P2 plan",IF(D36="Easy","P3 quick win","P4 later"))))</f>
        <v/>
      </c>
      <c r="G36" s="16"/>
      <c r="H36" s="16"/>
    </row>
    <row r="37" customFormat="false" ht="15" hidden="false" customHeight="false" outlineLevel="0" collapsed="false">
      <c r="A37" s="14"/>
      <c r="B37" s="16"/>
      <c r="C37" s="16"/>
      <c r="D37" s="16"/>
      <c r="E37" s="16"/>
      <c r="F37" s="16" t="str">
        <f aca="false">IF(OR(D37="",E37=""),"",IF(AND(D37="Easy",E37="High"),"P1 do now",IF(E37="High","P2 plan",IF(D37="Easy","P3 quick win","P4 later"))))</f>
        <v/>
      </c>
      <c r="G37" s="16"/>
      <c r="H37" s="16"/>
    </row>
    <row r="38" customFormat="false" ht="15" hidden="false" customHeight="false" outlineLevel="0" collapsed="false">
      <c r="A38" s="14"/>
      <c r="B38" s="16"/>
      <c r="C38" s="16"/>
      <c r="D38" s="16"/>
      <c r="E38" s="16"/>
      <c r="F38" s="16" t="str">
        <f aca="false">IF(OR(D38="",E38=""),"",IF(AND(D38="Easy",E38="High"),"P1 do now",IF(E38="High","P2 plan",IF(D38="Easy","P3 quick win","P4 later"))))</f>
        <v/>
      </c>
      <c r="G38" s="16"/>
      <c r="H38" s="16"/>
    </row>
    <row r="39" customFormat="false" ht="15" hidden="false" customHeight="false" outlineLevel="0" collapsed="false">
      <c r="A39" s="14"/>
      <c r="B39" s="16"/>
      <c r="C39" s="16"/>
      <c r="D39" s="16"/>
      <c r="E39" s="16"/>
      <c r="F39" s="16" t="str">
        <f aca="false">IF(OR(D39="",E39=""),"",IF(AND(D39="Easy",E39="High"),"P1 do now",IF(E39="High","P2 plan",IF(D39="Easy","P3 quick win","P4 later"))))</f>
        <v/>
      </c>
      <c r="G39" s="16"/>
      <c r="H39" s="16"/>
    </row>
  </sheetData>
  <dataValidations count="3">
    <dataValidation allowBlank="true" errorStyle="stop" operator="between" showDropDown="false" showErrorMessage="false" showInputMessage="false" sqref="D5:D39" type="list">
      <formula1>"Easy,Medium,Hard"</formula1>
      <formula2>0</formula2>
    </dataValidation>
    <dataValidation allowBlank="true" errorStyle="stop" operator="between" showDropDown="false" showErrorMessage="false" showInputMessage="false" sqref="E5:E39" type="list">
      <formula1>"High,Medium,Low"</formula1>
      <formula2>0</formula2>
    </dataValidation>
    <dataValidation allowBlank="true" errorStyle="stop" operator="between" showDropDown="false" showErrorMessage="false" showInputMessage="false" sqref="G5:G39" type="list">
      <formula1>"Proposed,Approved,In tracker,Dropped"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5" min="4" style="0" width="11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6.1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3" customFormat="false" ht="15" hidden="false" customHeight="false" outlineLevel="0" collapsed="false">
      <c r="A3" s="2" t="s">
        <v>189</v>
      </c>
    </row>
    <row r="5" customFormat="false" ht="27" hidden="false" customHeight="true" outlineLevel="0" collapsed="false">
      <c r="A5" s="3" t="s">
        <v>177</v>
      </c>
      <c r="B5" s="3" t="s">
        <v>190</v>
      </c>
      <c r="C5" s="3" t="s">
        <v>9</v>
      </c>
      <c r="D5" s="3" t="s">
        <v>11</v>
      </c>
      <c r="E5" s="3" t="s">
        <v>191</v>
      </c>
      <c r="F5" s="3" t="s">
        <v>192</v>
      </c>
      <c r="G5" s="3" t="s">
        <v>193</v>
      </c>
      <c r="H5" s="3" t="s">
        <v>194</v>
      </c>
    </row>
    <row r="6" customFormat="false" ht="15" hidden="false" customHeight="false" outlineLevel="0" collapsed="false">
      <c r="A6" s="4" t="s">
        <v>12</v>
      </c>
      <c r="B6" s="17"/>
      <c r="C6" s="6" t="str">
        <f aca="false">IFERROR(INDEX(Scoreboard!$G$6:$G$10,MATCH($A6,Scoreboard!$A$6:$A$10,0)),"-")</f>
        <v>-</v>
      </c>
      <c r="D6" s="5" t="str">
        <f aca="false">IFERROR(INDEX(Scoreboard!$I$6:$I$10,MATCH($A6,Scoreboard!$A$6:$A$10,0)),"-")</f>
        <v>-</v>
      </c>
      <c r="E6" s="5" t="n">
        <f aca="false">COUNTIFS('Initiative Log'!$B$5:$B$39,$A6)</f>
        <v>0</v>
      </c>
      <c r="F6" s="17"/>
      <c r="G6" s="17"/>
      <c r="H6" s="17"/>
    </row>
    <row r="7" customFormat="false" ht="15" hidden="false" customHeight="false" outlineLevel="0" collapsed="false">
      <c r="A7" s="4" t="s">
        <v>13</v>
      </c>
      <c r="B7" s="17"/>
      <c r="C7" s="6" t="str">
        <f aca="false">IFERROR(INDEX(Scoreboard!$G$6:$G$10,MATCH($A7,Scoreboard!$A$6:$A$10,0)),"-")</f>
        <v>-</v>
      </c>
      <c r="D7" s="5" t="str">
        <f aca="false">IFERROR(INDEX(Scoreboard!$I$6:$I$10,MATCH($A7,Scoreboard!$A$6:$A$10,0)),"-")</f>
        <v>-</v>
      </c>
      <c r="E7" s="5" t="n">
        <f aca="false">COUNTIFS('Initiative Log'!$B$5:$B$39,$A7)</f>
        <v>1</v>
      </c>
      <c r="F7" s="17"/>
      <c r="G7" s="17"/>
      <c r="H7" s="17"/>
    </row>
    <row r="8" customFormat="false" ht="15" hidden="false" customHeight="false" outlineLevel="0" collapsed="false">
      <c r="A8" s="4" t="s">
        <v>14</v>
      </c>
      <c r="B8" s="17"/>
      <c r="C8" s="6" t="str">
        <f aca="false">IFERROR(INDEX(Scoreboard!$G$6:$G$10,MATCH($A8,Scoreboard!$A$6:$A$10,0)),"-")</f>
        <v>-</v>
      </c>
      <c r="D8" s="5" t="str">
        <f aca="false">IFERROR(INDEX(Scoreboard!$I$6:$I$10,MATCH($A8,Scoreboard!$A$6:$A$10,0)),"-")</f>
        <v>-</v>
      </c>
      <c r="E8" s="5" t="n">
        <f aca="false">COUNTIFS('Initiative Log'!$B$5:$B$39,$A8)</f>
        <v>0</v>
      </c>
      <c r="F8" s="17"/>
      <c r="G8" s="17"/>
      <c r="H8" s="17"/>
    </row>
    <row r="9" customFormat="false" ht="15" hidden="false" customHeight="false" outlineLevel="0" collapsed="false">
      <c r="A9" s="4" t="s">
        <v>15</v>
      </c>
      <c r="B9" s="18" t="s">
        <v>195</v>
      </c>
      <c r="C9" s="6" t="str">
        <f aca="false">IFERROR(INDEX(Scoreboard!$G$6:$G$10,MATCH($A9,Scoreboard!$A$6:$A$10,0)),"-")</f>
        <v>-</v>
      </c>
      <c r="D9" s="5" t="str">
        <f aca="false">IFERROR(INDEX(Scoreboard!$I$6:$I$10,MATCH($A9,Scoreboard!$A$6:$A$10,0)),"-")</f>
        <v>-</v>
      </c>
      <c r="E9" s="5" t="n">
        <f aca="false">COUNTIFS('Initiative Log'!$B$5:$B$39,$A9)</f>
        <v>0</v>
      </c>
      <c r="F9" s="17"/>
      <c r="G9" s="17"/>
      <c r="H9" s="17"/>
    </row>
    <row r="10" customFormat="false" ht="15" hidden="false" customHeight="false" outlineLevel="0" collapsed="false">
      <c r="A10" s="4" t="s">
        <v>16</v>
      </c>
      <c r="B10" s="17"/>
      <c r="C10" s="6" t="str">
        <f aca="false">IFERROR(INDEX(Scoreboard!$G$6:$G$10,MATCH($A10,Scoreboard!$A$6:$A$10,0)),"-")</f>
        <v>-</v>
      </c>
      <c r="D10" s="5" t="str">
        <f aca="false">IFERROR(INDEX(Scoreboard!$I$6:$I$10,MATCH($A10,Scoreboard!$A$6:$A$10,0)),"-")</f>
        <v>-</v>
      </c>
      <c r="E10" s="5" t="n">
        <f aca="false">COUNTIFS('Initiative Log'!$B$5:$B$39,$A10)</f>
        <v>0</v>
      </c>
      <c r="F10" s="17"/>
      <c r="G10" s="17"/>
      <c r="H10" s="17"/>
    </row>
    <row r="12" customFormat="false" ht="15" hidden="false" customHeight="false" outlineLevel="0" collapsed="false">
      <c r="A12" s="2" t="s">
        <v>196</v>
      </c>
    </row>
    <row r="13" customFormat="false" ht="15" hidden="false" customHeight="false" outlineLevel="0" collapsed="false">
      <c r="A13" s="2" t="s">
        <v>197</v>
      </c>
    </row>
  </sheetData>
  <dataValidations count="3">
    <dataValidation allowBlank="true" errorStyle="stop" operator="between" showDropDown="false" showErrorMessage="false" showInputMessage="false" sqref="B6:B10" type="list">
      <formula1>"Junior,Mid,Senior,Lead"</formula1>
      <formula2>0</formula2>
    </dataValidation>
    <dataValidation allowBlank="true" errorStyle="stop" operator="between" showDropDown="false" showErrorMessage="false" showInputMessage="false" sqref="F6:F10" type="list">
      <formula1>"A-player,Above the Bar,Underperformer"</formula1>
      <formula2>0</formula2>
    </dataValidation>
    <dataValidation allowBlank="true" errorStyle="stop" operator="between" showDropDown="false" showErrorMessage="false" showInputMessage="false" sqref="G6:G10" type="list">
      <formula1>"5,4,3,2,1"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2026-07-20T14:35:36Z</dcterms:created>
  <dc:creator>openpyxl</dc:creator>
  <dc:description/>
  <dc:language>en-US</dc:language>
  <cp:lastModifiedBy/>
  <dcterms:modified xsi:type="dcterms:W3CDTF">2026-07-20T14:35:36Z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