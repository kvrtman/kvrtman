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eboard" sheetId="1" state="visible" r:id="rId3"/>
    <sheet name="Deliver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<sst xmlns="http://schemas.openxmlformats.org/spreadsheetml/2006/main" count="303" uniqueCount="169">
  <si>
    <t xml:space="preserve">Delivery Scoreboard, per owner (D3 delivery KPI). Kurt only.</t>
  </si>
  <si>
    <t xml:space="preserve">Private file: individual delivery scores are not shared between team members. The shared tracker stays the team view of the work itself.</t>
  </si>
  <si>
    <t xml:space="preserve">Ivan, 29 Jun: manage delivery by the track record of agreed steps shipped on pace, and by business impact, not activity. Computed from the Delivery Log tab (Due, Delivered, Status).</t>
  </si>
  <si>
    <t xml:space="preserve">Owner</t>
  </si>
  <si>
    <t xml:space="preserve">Committed (Due set)</t>
  </si>
  <si>
    <t xml:space="preserve">Delivered</t>
  </si>
  <si>
    <t xml:space="preserve">On time</t>
  </si>
  <si>
    <t xml:space="preserve">Late</t>
  </si>
  <si>
    <t xml:space="preserve">Overdue (open)</t>
  </si>
  <si>
    <t xml:space="preserve">On-time rate</t>
  </si>
  <si>
    <t xml:space="preserve">JV Manlangit</t>
  </si>
  <si>
    <t xml:space="preserve">Anton Betia</t>
  </si>
  <si>
    <t xml:space="preserve">Manzil Balani</t>
  </si>
  <si>
    <t xml:space="preserve">Elias Marcella</t>
  </si>
  <si>
    <t xml:space="preserve">Jastin Lagumbay</t>
  </si>
  <si>
    <t xml:space="preserve">Team</t>
  </si>
  <si>
    <t xml:space="preserve">How to read it: Committed = rows with an agreed Due date. On-time rate = on time / (on time + late). Overdue (open) = past Due, not shipped, not cancelled.</t>
  </si>
  <si>
    <t xml:space="preserve">Refresh weekly: copy rows A4 down to J from the tracker's Master Rollup and paste into the Delivery Log tab (same columns). In Google Sheets, the Delivery Log tab can be replaced with IMPORTRANGE for auto-sync.</t>
  </si>
  <si>
    <t xml:space="preserve">Feeds the quarterly Revolut-style scorecard: Speed from the on-time rate, Quality from iterations to done (ClickUp reopens), Complexity judged per project. Deliverables = (Speed + Quality) x Complexity.</t>
  </si>
  <si>
    <t xml:space="preserve">Mirror of the tracker Master Rollup (columns A to J). Refresh by paste, or IMPORTRANGE in Google Sheets. The Scoreboard tab reads Owner (A), Status (C), Due (G), Delivered (H).</t>
  </si>
  <si>
    <t xml:space="preserve">Project</t>
  </si>
  <si>
    <t xml:space="preserve">Status</t>
  </si>
  <si>
    <t xml:space="preserve">Priority</t>
  </si>
  <si>
    <t xml:space="preserve">KPI Key Driver</t>
  </si>
  <si>
    <t xml:space="preserve">Impact (bottom-up)</t>
  </si>
  <si>
    <t xml:space="preserve">Due</t>
  </si>
  <si>
    <t xml:space="preserve">Summary</t>
  </si>
  <si>
    <t xml:space="preserve">ClickUp / BRD Link</t>
  </si>
  <si>
    <t xml:space="preserve">SAP Video Capture</t>
  </si>
  <si>
    <t xml:space="preserve">In Progress</t>
  </si>
  <si>
    <t xml:space="preserve">Urgent</t>
  </si>
  <si>
    <t xml:space="preserve">SAP - D2 Disbursement per active agent</t>
  </si>
  <si>
    <t xml:space="preserve">Video statement capture for high-risk clients with AI transcript + facial verification. Phase 1 live. AI status update pending.</t>
  </si>
  <si>
    <t xml:space="preserve">https://app.clickup.com/t/86ewdm810</t>
  </si>
  <si>
    <t xml:space="preserve">Item-Based Pricing</t>
  </si>
  <si>
    <t xml:space="preserve">Blocked</t>
  </si>
  <si>
    <t xml:space="preserve">Pricing - Merchants (Chi)</t>
  </si>
  <si>
    <t xml:space="preserve">Apply promo rules to selected products, not whole catalog. Part of products engine. awaiting merchant requirements.</t>
  </si>
  <si>
    <t xml:space="preserve">https://app.clickup.com/t/86ewdm7xz</t>
  </si>
  <si>
    <t xml:space="preserve">Credit Line (Launch)</t>
  </si>
  <si>
    <t xml:space="preserve">Credit Line - D1 Utilization &amp; drawdown</t>
  </si>
  <si>
    <t xml:space="preserve">CL utilization and drawdown, target set ~30 days post-launch</t>
  </si>
  <si>
    <t xml:space="preserve">Launched 15 Jul (F&amp;F/ETB). Phase-1 open: repayment/statement emails, eligibility, biz events, web FAQ, pending-txn spec. Refund/chargeback &amp; IPP later phases.</t>
  </si>
  <si>
    <t xml:space="preserve">https://app.clickup.com/t/9008174123/86eyaav7k</t>
  </si>
  <si>
    <t xml:space="preserve">Motorcycle Loans (KServico)</t>
  </si>
  <si>
    <t xml:space="preserve">High</t>
  </si>
  <si>
    <t xml:space="preserve">Motorcycles - D1 Moto monthly disbursement</t>
  </si>
  <si>
    <t xml:space="preserve">Moto monthly run rate, gated by Nhat</t>
  </si>
  <si>
    <t xml:space="preserve">Addendum &amp; SA guide done, delivered via SAP. refresher pending. return-config changes being finalized.</t>
  </si>
  <si>
    <t xml:space="preserve">https://app.clickup.com/t/9008174123/86ey83p6c</t>
  </si>
  <si>
    <t xml:space="preserve">Special Deals Offer to Low-Risk Customers</t>
  </si>
  <si>
    <t xml:space="preserve">Deals - D1 Monthly disbursement</t>
  </si>
  <si>
    <t xml:space="preserve">Conversion lift on low-risk base, size with Nhat before comms</t>
  </si>
  <si>
    <t xml:space="preserve">Additional-limit offer to low-risk clients to lift conversion. DE deployed. comms Jul 20.</t>
  </si>
  <si>
    <t xml:space="preserve">https://app.clickup.com/t/9008174123/86exz94uf</t>
  </si>
  <si>
    <t xml:space="preserve">Deals API Documentation</t>
  </si>
  <si>
    <t xml:space="preserve">Gather partner API docs (Giftaway, 3Cat) to scope integration timeline.</t>
  </si>
  <si>
    <t xml:space="preserve">https://app.clickup.com/t/9008174123/86ey90pqa</t>
  </si>
  <si>
    <t xml:space="preserve">Vouchers on Deals</t>
  </si>
  <si>
    <t xml:space="preserve">Enable voucher purchases on Deals. preparing rails.</t>
  </si>
  <si>
    <t xml:space="preserve">https://app.clickup.com/t/9008174123/86eyadmt7</t>
  </si>
  <si>
    <t xml:space="preserve">Launch Deals on Web</t>
  </si>
  <si>
    <t xml:space="preserve">Deals - D3 Delivery on roadmap</t>
  </si>
  <si>
    <t xml:space="preserve">Web version of Deals. Phase 1 UI testing paused as of Jul 15.</t>
  </si>
  <si>
    <t xml:space="preserve">Deals Merchant BD Pipeline</t>
  </si>
  <si>
    <t xml:space="preserve">Deals BD - D2 New merchants live &amp; disbursing</t>
  </si>
  <si>
    <t xml:space="preserve">New merchants live and disbursing, ticket uplift</t>
  </si>
  <si>
    <t xml:space="preserve">Brand pipeline. WARM: Kimstore, 3Cat, Hati, Laptop Factory, Samsung, PrimerGrp, PowerMac, AirAsia, Qoala. Rejected: MetroMart, Engkanto, DataBlitz, Vivo, Mandaue Foam.</t>
  </si>
  <si>
    <t xml:space="preserve">https://docs.google.com/spreadsheets/d/1Qx9NB9uO7TvVACgTXQszWOwBFCa_OTElUIsEwWYCVOM/</t>
  </si>
  <si>
    <t xml:space="preserve">Access Card</t>
  </si>
  <si>
    <t xml:space="preserve">Card - D2 Card unit economics</t>
  </si>
  <si>
    <t xml:space="preserve">Per-card break-even on interchange at target CAC</t>
  </si>
  <si>
    <t xml:space="preserve">BillEase Mastercard (numberless) w/ AUB &amp; MatchMove. MOA negotiation (audit cap, CS cert, VAPT). design + bureau RFPs out. activation BRD done. Target prod Q4 2026.</t>
  </si>
  <si>
    <t xml:space="preserve">https://docs.google.com/spreadsheets/d/1Vf8kaBSoQp1PeSw156nCNtYON_3ZJM5ZbR9xZPe8SjU/</t>
  </si>
  <si>
    <t xml:space="preserve">Risk-Based Pricing</t>
  </si>
  <si>
    <t xml:space="preserve">Pricing - Merchants/Risk</t>
  </si>
  <si>
    <t xml:space="preserve">Dynamic interest rates by client credit behaviour. Part of products engine. awaiting requirements.</t>
  </si>
  <si>
    <t xml:space="preserve">https://app.clickup.com/t/86ewn2hpd</t>
  </si>
  <si>
    <t xml:space="preserve">SM Appliances - Acknowledgement Receipt</t>
  </si>
  <si>
    <t xml:space="preserve">Merchant Onboarding - D2 Onboarding cycle time</t>
  </si>
  <si>
    <t xml:space="preserve">Read-only approved-transaction receipt for merchants (75%). Dev done. awaiting SM signatory.</t>
  </si>
  <si>
    <t xml:space="preserve">https://app.clickup.com/t/86ewpkfpv</t>
  </si>
  <si>
    <t xml:space="preserve">Supervisors/RMs Stamp in Create Trx Report</t>
  </si>
  <si>
    <t xml:space="preserve">Adds supervisor/RM stamp to Create Trx Report (83%). Live for txns after Jun 16. validating incentives.</t>
  </si>
  <si>
    <t xml:space="preserve">https://app.clickup.com/t/86ex68b0u</t>
  </si>
  <si>
    <t xml:space="preserve">QRPh Chargeback Escalation (Netbank/AUB)</t>
  </si>
  <si>
    <t xml:space="preserve">QRPh - D1 Monthly disbursement run rate</t>
  </si>
  <si>
    <t xml:space="preserve">Protects the QRPh run rate</t>
  </si>
  <si>
    <t xml:space="preserve">Daily QRPh chargeback escalation &amp; checking for AUB and Netbank.</t>
  </si>
  <si>
    <t xml:space="preserve">https://app.clickup.com/t/9008174123/86ey9ztg7</t>
  </si>
  <si>
    <t xml:space="preserve">Merchant Onboarding Ops Queue (BAU)</t>
  </si>
  <si>
    <t xml:space="preserve">Daily BAU queue: shop/user/bank adds, onboarding, branch/name changes. ~20+ tickets/week, mostly same/next-day.</t>
  </si>
  <si>
    <t xml:space="preserve">https://docs.google.com/spreadsheets/d/1FXbhtIl3aNyH9zr5Zf_xpV_OaLrUeQVwTLEMQKsn_dg/</t>
  </si>
  <si>
    <t xml:space="preserve">Product Pricing / SAP Calculator PVT</t>
  </si>
  <si>
    <t xml:space="preserve">IT/PVT - Billy (D1 release quality gate)</t>
  </si>
  <si>
    <t xml:space="preserve">Pricing/tenor/IR validation across merchant scenarios (Android/iOS). Recent Fails at FC Home Lubao 3 &amp; Shaw need config fix.</t>
  </si>
  <si>
    <t xml:space="preserve">https://docs.google.com/spreadsheets/d/178O3aMK18zV_j96Xbp6UD3-QWxWX9QIFjTOju0fw-sM/</t>
  </si>
  <si>
    <t xml:space="preserve">Promoter Referral Program v2: Online Linking</t>
  </si>
  <si>
    <t xml:space="preserve">Normal</t>
  </si>
  <si>
    <t xml:space="preserve">Extends referral program to online transactions. BRD in progress. validation shifting to Merchants/Billease.</t>
  </si>
  <si>
    <t xml:space="preserve">https://app.clickup.com/9008174123/v/dc/8cevn1b-45778/8cevn1b-224358</t>
  </si>
  <si>
    <t xml:space="preserve">Feedback Form for Non-Converted Sign-ups</t>
  </si>
  <si>
    <t xml:space="preserve">Captures friction on agents' unconverted leads (25%). Adding conditional-question feature.</t>
  </si>
  <si>
    <t xml:space="preserve">https://app.clickup.com/t/86ewphrkt</t>
  </si>
  <si>
    <t xml:space="preserve">SAP Calculator</t>
  </si>
  <si>
    <t xml:space="preserve">Real-time SAP loan calculator from product config (40%). Mockup + ticket done. dev pending.</t>
  </si>
  <si>
    <t xml:space="preserve">https://app.clickup.com/t/86ex68cg9</t>
  </si>
  <si>
    <t xml:space="preserve">SAP Looker Dashboard</t>
  </si>
  <si>
    <t xml:space="preserve">BI - Jenny Ho (D1 dashboard)</t>
  </si>
  <si>
    <t xml:space="preserve">Looker reporting for Trx Requests, Non-Converted Sign-ups &amp; future SAP projects (50%). Dev pending.</t>
  </si>
  <si>
    <t xml:space="preserve">https://app.clickup.com/t/86ewqfqqa</t>
  </si>
  <si>
    <t xml:space="preserve">Deals UX Study</t>
  </si>
  <si>
    <t xml:space="preserve">Deals - D2 Acceptance/conversion</t>
  </si>
  <si>
    <t xml:space="preserve">UX study: brand-first vs agnostic Deals store. Regroup call scheduled.</t>
  </si>
  <si>
    <t xml:space="preserve">Multi-item per Merchant</t>
  </si>
  <si>
    <t xml:space="preserve">Same product across merchants with price-comparison screen. BRD drafted. design pending.</t>
  </si>
  <si>
    <t xml:space="preserve">https://app.clickup.com/t/9008174123/86ey9gdq1</t>
  </si>
  <si>
    <t xml:space="preserve">Location-Based Delivery</t>
  </si>
  <si>
    <t xml:space="preserve">Support coordinates + flag out-of-range deliveries. BRD + mockup for Kurt's input.</t>
  </si>
  <si>
    <t xml:space="preserve">https://app.clickup.com/t/9008174123/86eyavqf4</t>
  </si>
  <si>
    <t xml:space="preserve">Pick-Up Model</t>
  </si>
  <si>
    <t xml:space="preserve">Pickup-location fulfillment option instead of delivery. BRD + mockup for Kurt's input.</t>
  </si>
  <si>
    <t xml:space="preserve">https://app.clickup.com/t/9008174123/86eyavtqg</t>
  </si>
  <si>
    <t xml:space="preserve">Support for Pre-Owned on Deals</t>
  </si>
  <si>
    <t xml:space="preserve">Not Started</t>
  </si>
  <si>
    <t xml:space="preserve">Prepare rails for pre-owned listings (3Cat). Rails list being scoped.</t>
  </si>
  <si>
    <t xml:space="preserve">https://app.clickup.com/t/9008174123/86eyafcd5</t>
  </si>
  <si>
    <t xml:space="preserve">Credit Line for Deals</t>
  </si>
  <si>
    <t xml:space="preserve">Integrate Deals with Credit Line. Target August.</t>
  </si>
  <si>
    <t xml:space="preserve">https://app.clickup.com/t/9008174123/86ey7mar5</t>
  </si>
  <si>
    <t xml:space="preserve">Deals 360 Dashboard</t>
  </si>
  <si>
    <t xml:space="preserve">Expanded Deals 360 dashboard. requested columns from Jenny.</t>
  </si>
  <si>
    <t xml:space="preserve">https://app.clickup.com/t/9008174123/86ey90puc</t>
  </si>
  <si>
    <t xml:space="preserve">Adding Missing Deals Items</t>
  </si>
  <si>
    <t xml:space="preserve">Deals BD - D2 New merchants live</t>
  </si>
  <si>
    <t xml:space="preserve">Add products missing from Deals inventory. List provided. items pending.</t>
  </si>
  <si>
    <t xml:space="preserve">Integrate Merchant Guide to Billease Docs</t>
  </si>
  <si>
    <t xml:space="preserve">Fewer onboarding tickets via self-serve guide</t>
  </si>
  <si>
    <t xml:space="preserve">Single self-service Merchant Guide: handbook + 7 walkthroughs, vector screens, PII redaction. Target 30% fewer tickets.</t>
  </si>
  <si>
    <t xml:space="preserve">https://app.clickup.com/t/9008174123/86exz70h6</t>
  </si>
  <si>
    <t xml:space="preserve">Automate Onboarding Email</t>
  </si>
  <si>
    <t xml:space="preserve">Auto welcome email on first transition to Active (once only), with logging + retry.</t>
  </si>
  <si>
    <t xml:space="preserve">https://app.clickup.com/t/9008174123/86ev2ktw2</t>
  </si>
  <si>
    <t xml:space="preserve">Update 'How to Become a Merchant' Page</t>
  </si>
  <si>
    <t xml:space="preserve">Add rejection screen linking to QRPh FAQs. keep success screen largely the same.</t>
  </si>
  <si>
    <t xml:space="preserve">https://app.clickup.com/t/9008174123/86ey3qbz2</t>
  </si>
  <si>
    <t xml:space="preserve">SAP Announcement &amp; Quiz Module v2</t>
  </si>
  <si>
    <t xml:space="preserve">Low</t>
  </si>
  <si>
    <t xml:space="preserve">v1 enhancements: editable-after-activation, duplicate forms, data filter by TL &amp; SFT.</t>
  </si>
  <si>
    <t xml:space="preserve">SAP Announcement &amp; Quiz Module v1</t>
  </si>
  <si>
    <t xml:space="preserve">Completed</t>
  </si>
  <si>
    <t xml:space="preserve">Mandatory in-SAP info delivery + retention quiz per agent. Rolled to prod Jul 3.</t>
  </si>
  <si>
    <t xml:space="preserve">https://app.clickup.com/t/9008174123/86ey0ujv3</t>
  </si>
  <si>
    <t xml:space="preserve">Early Upsell</t>
  </si>
  <si>
    <t xml:space="preserve">Post-disbursement upsell leaflet + announcement/quiz. Live. ~94% completion as of Jul 10.</t>
  </si>
  <si>
    <t xml:space="preserve">Credit Line - Agent Announcement (SAP)</t>
  </si>
  <si>
    <t xml:space="preserve">Credit Line announcement + quiz delivered to agents via SAP Jul 16.</t>
  </si>
  <si>
    <t xml:space="preserve">Promoter Referral Program v1: Offline Linking</t>
  </si>
  <si>
    <t xml:space="preserve">Auto-rewards promoters for merchant-loan referrals (offline). Live. Giftaway credits monitored weekly.</t>
  </si>
  <si>
    <t xml:space="preserve">https://app.clickup.com/9008174123/v/dc/8cevn1b-45778/8cevn1b-219678</t>
  </si>
  <si>
    <t xml:space="preserve">Maxicare PRIMA Launch on Deals</t>
  </si>
  <si>
    <t xml:space="preserve">Maxicare PRIMA live on Deals Jul 10. first marketing blast Jul 21. iOS pending shorter descriptions.</t>
  </si>
  <si>
    <t xml:space="preserve">Adding Pay Later on Deals</t>
  </si>
  <si>
    <t xml:space="preserve">Cancelled</t>
  </si>
  <si>
    <t xml:space="preserve">Pay Later / convert-to-installment on Deals. Cancelled - redundant with Credit Line.</t>
  </si>
  <si>
    <t xml:space="preserve">https://app.clickup.com/t/9008174123/86ew51ha3</t>
  </si>
  <si>
    <t xml:space="preserve">Apply Promo at Category/Item Level</t>
  </si>
  <si>
    <t xml:space="preserve">Item/category-level promos. Deferred - to be built after the Product Engine (Chi).</t>
  </si>
  <si>
    <t xml:space="preserve">https://app.clickup.com/t/9008174123/86ey2gvyt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</si>
</sst>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203AA9"/>
      <name val="Arial"/>
      <family val="0"/>
      <charset val="1"/>
    </font>
    <font>
      <sz val="9"/>
      <color rgb="FF8A8A8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203AA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03AA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A8A82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03AA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5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7" min="6" style="0" width="13"/>
    <col collapsed="false" customWidth="true" hidden="false" outlineLevel="0" max="8" min="8" style="0" width="6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1.75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</row>
    <row r="6" customFormat="false" ht="15" hidden="false" customHeight="false" outlineLevel="0" collapsed="false">
      <c r="A6" s="4" t="s">
        <v>10</v>
      </c>
      <c r="B6" s="5" t="n">
        <f aca="false">SUMPRODUCT(('Delivery Log'!$A$4:$A$400=$A6)*('Delivery Log'!$G$4:$G$400&lt;&gt;""))</f>
        <v>0</v>
      </c>
      <c r="C6" s="5" t="n">
        <f aca="false">SUMPRODUCT(('Delivery Log'!$A$4:$A$400=$A6)*('Delivery Log'!$H$4:$H$400&lt;&gt;""))</f>
        <v>2</v>
      </c>
      <c r="D6" s="5" t="n">
        <f aca="false">SUMPRODUCT(('Delivery Log'!$A$4:$A$400=$A6)*('Delivery Log'!$H$4:$H$400&lt;&gt;"")*('Delivery Log'!$G$4:$G$400&lt;&gt;"")*('Delivery Log'!$H$4:$H$400&lt;='Delivery Log'!$G$4:$G$400))</f>
        <v>0</v>
      </c>
      <c r="E6" s="5" t="n">
        <f aca="false">SUMPRODUCT(('Delivery Log'!$A$4:$A$400=$A6)*('Delivery Log'!$H$4:$H$400&lt;&gt;"")*('Delivery Log'!$G$4:$G$400&lt;&gt;"")*('Delivery Log'!$H$4:$H$400&gt;'Delivery Log'!$G$4:$G$400))</f>
        <v>0</v>
      </c>
      <c r="F6" s="5" t="n">
        <f aca="true">SUMPRODUCT(('Delivery Log'!$A$4:$A$400=$A6)*('Delivery Log'!$G$4:$G$400&lt;&gt;"")*('Delivery Log'!$H$4:$H$400="")*('Delivery Log'!$C$4:$C$400&lt;&gt;"Completed")*('Delivery Log'!$C$4:$C$400&lt;&gt;"Cancelled")*('Delivery Log'!$G$4:$G$400&lt;TODAY()))</f>
        <v>0</v>
      </c>
      <c r="G6" s="6" t="str">
        <f aca="false">IF(D6+E6=0,"-",D6/(D6+E6))</f>
        <v>-</v>
      </c>
    </row>
    <row r="7" customFormat="false" ht="15" hidden="false" customHeight="false" outlineLevel="0" collapsed="false">
      <c r="A7" s="4" t="s">
        <v>11</v>
      </c>
      <c r="B7" s="5" t="n">
        <f aca="false">SUMPRODUCT(('Delivery Log'!$A$4:$A$400=$A7)*('Delivery Log'!$G$4:$G$400&lt;&gt;""))</f>
        <v>1</v>
      </c>
      <c r="C7" s="5" t="n">
        <f aca="false">SUMPRODUCT(('Delivery Log'!$A$4:$A$400=$A7)*('Delivery Log'!$H$4:$H$400&lt;&gt;""))</f>
        <v>0</v>
      </c>
      <c r="D7" s="5" t="n">
        <f aca="false">SUMPRODUCT(('Delivery Log'!$A$4:$A$400=$A7)*('Delivery Log'!$H$4:$H$400&lt;&gt;"")*('Delivery Log'!$G$4:$G$400&lt;&gt;"")*('Delivery Log'!$H$4:$H$400&lt;='Delivery Log'!$G$4:$G$400))</f>
        <v>0</v>
      </c>
      <c r="E7" s="5" t="n">
        <f aca="false">SUMPRODUCT(('Delivery Log'!$A$4:$A$400=$A7)*('Delivery Log'!$H$4:$H$400&lt;&gt;"")*('Delivery Log'!$G$4:$G$400&lt;&gt;"")*('Delivery Log'!$H$4:$H$400&gt;'Delivery Log'!$G$4:$G$400))</f>
        <v>0</v>
      </c>
      <c r="F7" s="5" t="n">
        <f aca="true">SUMPRODUCT(('Delivery Log'!$A$4:$A$400=$A7)*('Delivery Log'!$G$4:$G$400&lt;&gt;"")*('Delivery Log'!$H$4:$H$400="")*('Delivery Log'!$C$4:$C$400&lt;&gt;"Completed")*('Delivery Log'!$C$4:$C$400&lt;&gt;"Cancelled")*('Delivery Log'!$G$4:$G$400&lt;TODAY()))</f>
        <v>0</v>
      </c>
      <c r="G7" s="6" t="str">
        <f aca="false">IF(D7+E7=0,"-",D7/(D7+E7))</f>
        <v>-</v>
      </c>
    </row>
    <row r="8" customFormat="false" ht="15" hidden="false" customHeight="false" outlineLevel="0" collapsed="false">
      <c r="A8" s="4" t="s">
        <v>12</v>
      </c>
      <c r="B8" s="5" t="n">
        <f aca="false">SUMPRODUCT(('Delivery Log'!$A$4:$A$400=$A8)*('Delivery Log'!$G$4:$G$400&lt;&gt;""))</f>
        <v>0</v>
      </c>
      <c r="C8" s="5" t="n">
        <f aca="false">SUMPRODUCT(('Delivery Log'!$A$4:$A$400=$A8)*('Delivery Log'!$H$4:$H$400&lt;&gt;""))</f>
        <v>1</v>
      </c>
      <c r="D8" s="5" t="n">
        <f aca="false">SUMPRODUCT(('Delivery Log'!$A$4:$A$400=$A8)*('Delivery Log'!$H$4:$H$400&lt;&gt;"")*('Delivery Log'!$G$4:$G$400&lt;&gt;"")*('Delivery Log'!$H$4:$H$400&lt;='Delivery Log'!$G$4:$G$400))</f>
        <v>0</v>
      </c>
      <c r="E8" s="5" t="n">
        <f aca="false">SUMPRODUCT(('Delivery Log'!$A$4:$A$400=$A8)*('Delivery Log'!$H$4:$H$400&lt;&gt;"")*('Delivery Log'!$G$4:$G$400&lt;&gt;"")*('Delivery Log'!$H$4:$H$400&gt;'Delivery Log'!$G$4:$G$400))</f>
        <v>0</v>
      </c>
      <c r="F8" s="5" t="n">
        <f aca="true">SUMPRODUCT(('Delivery Log'!$A$4:$A$400=$A8)*('Delivery Log'!$G$4:$G$400&lt;&gt;"")*('Delivery Log'!$H$4:$H$400="")*('Delivery Log'!$C$4:$C$400&lt;&gt;"Completed")*('Delivery Log'!$C$4:$C$400&lt;&gt;"Cancelled")*('Delivery Log'!$G$4:$G$400&lt;TODAY()))</f>
        <v>0</v>
      </c>
      <c r="G8" s="6" t="str">
        <f aca="false">IF(D8+E8=0,"-",D8/(D8+E8))</f>
        <v>-</v>
      </c>
    </row>
    <row r="9" customFormat="false" ht="15" hidden="false" customHeight="false" outlineLevel="0" collapsed="false">
      <c r="A9" s="4" t="s">
        <v>13</v>
      </c>
      <c r="B9" s="5" t="n">
        <f aca="false">SUMPRODUCT(('Delivery Log'!$A$4:$A$400=$A9)*('Delivery Log'!$G$4:$G$400&lt;&gt;""))</f>
        <v>0</v>
      </c>
      <c r="C9" s="5" t="n">
        <f aca="false">SUMPRODUCT(('Delivery Log'!$A$4:$A$400=$A9)*('Delivery Log'!$H$4:$H$400&lt;&gt;""))</f>
        <v>0</v>
      </c>
      <c r="D9" s="5" t="n">
        <f aca="false">SUMPRODUCT(('Delivery Log'!$A$4:$A$400=$A9)*('Delivery Log'!$H$4:$H$400&lt;&gt;"")*('Delivery Log'!$G$4:$G$400&lt;&gt;"")*('Delivery Log'!$H$4:$H$400&lt;='Delivery Log'!$G$4:$G$400))</f>
        <v>0</v>
      </c>
      <c r="E9" s="5" t="n">
        <f aca="false">SUMPRODUCT(('Delivery Log'!$A$4:$A$400=$A9)*('Delivery Log'!$H$4:$H$400&lt;&gt;"")*('Delivery Log'!$G$4:$G$400&lt;&gt;"")*('Delivery Log'!$H$4:$H$400&gt;'Delivery Log'!$G$4:$G$400))</f>
        <v>0</v>
      </c>
      <c r="F9" s="5" t="n">
        <f aca="true">SUMPRODUCT(('Delivery Log'!$A$4:$A$400=$A9)*('Delivery Log'!$G$4:$G$400&lt;&gt;"")*('Delivery Log'!$H$4:$H$400="")*('Delivery Log'!$C$4:$C$400&lt;&gt;"Completed")*('Delivery Log'!$C$4:$C$400&lt;&gt;"Cancelled")*('Delivery Log'!$G$4:$G$400&lt;TODAY()))</f>
        <v>0</v>
      </c>
      <c r="G9" s="6" t="str">
        <f aca="false">IF(D9+E9=0,"-",D9/(D9+E9))</f>
        <v>-</v>
      </c>
    </row>
    <row r="10" customFormat="false" ht="15" hidden="false" customHeight="false" outlineLevel="0" collapsed="false">
      <c r="A10" s="4" t="s">
        <v>14</v>
      </c>
      <c r="B10" s="5" t="n">
        <f aca="false">SUMPRODUCT(('Delivery Log'!$A$4:$A$400=$A10)*('Delivery Log'!$G$4:$G$400&lt;&gt;""))</f>
        <v>0</v>
      </c>
      <c r="C10" s="5" t="n">
        <f aca="false">SUMPRODUCT(('Delivery Log'!$A$4:$A$400=$A10)*('Delivery Log'!$H$4:$H$400&lt;&gt;""))</f>
        <v>0</v>
      </c>
      <c r="D10" s="5" t="n">
        <f aca="false">SUMPRODUCT(('Delivery Log'!$A$4:$A$400=$A10)*('Delivery Log'!$H$4:$H$400&lt;&gt;"")*('Delivery Log'!$G$4:$G$400&lt;&gt;"")*('Delivery Log'!$H$4:$H$400&lt;='Delivery Log'!$G$4:$G$400))</f>
        <v>0</v>
      </c>
      <c r="E10" s="5" t="n">
        <f aca="false">SUMPRODUCT(('Delivery Log'!$A$4:$A$400=$A10)*('Delivery Log'!$H$4:$H$400&lt;&gt;"")*('Delivery Log'!$G$4:$G$400&lt;&gt;"")*('Delivery Log'!$H$4:$H$400&gt;'Delivery Log'!$G$4:$G$400))</f>
        <v>0</v>
      </c>
      <c r="F10" s="5" t="n">
        <f aca="true">SUMPRODUCT(('Delivery Log'!$A$4:$A$400=$A10)*('Delivery Log'!$G$4:$G$400&lt;&gt;"")*('Delivery Log'!$H$4:$H$400="")*('Delivery Log'!$C$4:$C$400&lt;&gt;"Completed")*('Delivery Log'!$C$4:$C$400&lt;&gt;"Cancelled")*('Delivery Log'!$G$4:$G$400&lt;TODAY()))</f>
        <v>0</v>
      </c>
      <c r="G10" s="6" t="str">
        <f aca="false">IF(D10+E10=0,"-",D10/(D10+E10))</f>
        <v>-</v>
      </c>
    </row>
    <row r="11" customFormat="false" ht="15" hidden="false" customHeight="false" outlineLevel="0" collapsed="false">
      <c r="A11" s="7" t="s">
        <v>15</v>
      </c>
      <c r="B11" s="8" t="n">
        <f aca="false">SUM(B6:B10)</f>
        <v>1</v>
      </c>
      <c r="C11" s="8" t="n">
        <f aca="false">SUM(C6:C10)</f>
        <v>3</v>
      </c>
      <c r="D11" s="8" t="n">
        <f aca="false">SUM(D6:D10)</f>
        <v>0</v>
      </c>
      <c r="E11" s="8" t="n">
        <f aca="false">SUM(E6:E10)</f>
        <v>0</v>
      </c>
      <c r="F11" s="8" t="n">
        <f aca="false">SUM(F6:F10)</f>
        <v>0</v>
      </c>
      <c r="G11" s="9" t="str">
        <f aca="false">IF(D11+E11=0,"-",D11/(D11+E11))</f>
        <v>-</v>
      </c>
    </row>
    <row r="13" customFormat="false" ht="15" hidden="false" customHeight="false" outlineLevel="0" collapsed="false">
      <c r="A13" s="2" t="s">
        <v>16</v>
      </c>
    </row>
    <row r="14" customFormat="false" ht="15" hidden="false" customHeight="false" outlineLevel="0" collapsed="false">
      <c r="A14" s="2" t="s">
        <v>17</v>
      </c>
    </row>
    <row r="15" customFormat="false" ht="15" hidden="false" customHeight="false" outlineLevel="0" collapsed="false">
      <c r="A15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26"/>
    <col collapsed="false" customWidth="true" hidden="false" outlineLevel="0" max="6" min="6" style="0" width="34"/>
    <col collapsed="false" customWidth="true" hidden="false" outlineLevel="0" max="7" min="7" style="0" width="9"/>
    <col collapsed="false" customWidth="true" hidden="false" outlineLevel="0" max="8" min="8" style="0" width="9.5"/>
    <col collapsed="false" customWidth="true" hidden="false" outlineLevel="0" max="9" min="9" style="0" width="50"/>
    <col collapsed="false" customWidth="true" hidden="false" outlineLevel="0" max="10" min="10" style="0" width="46"/>
  </cols>
  <sheetData>
    <row r="1" customFormat="false" ht="15" hidden="false" customHeight="false" outlineLevel="0" collapsed="false">
      <c r="A1" s="2" t="s">
        <v>19</v>
      </c>
    </row>
    <row r="3" customFormat="false" ht="21.75" hidden="false" customHeight="true" outlineLevel="0" collapsed="false">
      <c r="A3" s="3" t="s">
        <v>3</v>
      </c>
      <c r="B3" s="3" t="s">
        <v>20</v>
      </c>
      <c r="C3" s="3" t="s">
        <v>21</v>
      </c>
      <c r="D3" s="3" t="s">
        <v>22</v>
      </c>
      <c r="E3" s="3" t="s">
        <v>23</v>
      </c>
      <c r="F3" s="3" t="s">
        <v>24</v>
      </c>
      <c r="G3" s="3" t="s">
        <v>25</v>
      </c>
      <c r="H3" s="3" t="s">
        <v>5</v>
      </c>
      <c r="I3" s="3" t="s">
        <v>26</v>
      </c>
      <c r="J3" s="3" t="s">
        <v>27</v>
      </c>
    </row>
    <row r="4" customFormat="false" ht="15" hidden="false" customHeight="false" outlineLevel="0" collapsed="false">
      <c r="A4" s="10" t="s">
        <v>10</v>
      </c>
      <c r="B4" s="11" t="s">
        <v>28</v>
      </c>
      <c r="C4" s="11" t="s">
        <v>29</v>
      </c>
      <c r="D4" s="11" t="s">
        <v>30</v>
      </c>
      <c r="E4" s="11" t="s">
        <v>31</v>
      </c>
      <c r="F4" s="11"/>
      <c r="G4" s="12"/>
      <c r="H4" s="12"/>
      <c r="I4" s="11" t="s">
        <v>32</v>
      </c>
      <c r="J4" s="11" t="s">
        <v>33</v>
      </c>
    </row>
    <row r="5" customFormat="false" ht="15" hidden="false" customHeight="false" outlineLevel="0" collapsed="false">
      <c r="A5" s="10" t="s">
        <v>11</v>
      </c>
      <c r="B5" s="11" t="s">
        <v>34</v>
      </c>
      <c r="C5" s="11" t="s">
        <v>35</v>
      </c>
      <c r="D5" s="11" t="s">
        <v>30</v>
      </c>
      <c r="E5" s="11" t="s">
        <v>36</v>
      </c>
      <c r="F5" s="11"/>
      <c r="G5" s="12"/>
      <c r="H5" s="12"/>
      <c r="I5" s="11" t="s">
        <v>37</v>
      </c>
      <c r="J5" s="11" t="s">
        <v>38</v>
      </c>
    </row>
    <row r="6" customFormat="false" ht="15" hidden="false" customHeight="false" outlineLevel="0" collapsed="false">
      <c r="A6" s="10" t="s">
        <v>13</v>
      </c>
      <c r="B6" s="11" t="s">
        <v>39</v>
      </c>
      <c r="C6" s="11" t="s">
        <v>29</v>
      </c>
      <c r="D6" s="11" t="s">
        <v>30</v>
      </c>
      <c r="E6" s="11" t="s">
        <v>40</v>
      </c>
      <c r="F6" s="11" t="s">
        <v>41</v>
      </c>
      <c r="G6" s="12"/>
      <c r="H6" s="12"/>
      <c r="I6" s="11" t="s">
        <v>42</v>
      </c>
      <c r="J6" s="11" t="s">
        <v>43</v>
      </c>
    </row>
    <row r="7" customFormat="false" ht="15" hidden="false" customHeight="false" outlineLevel="0" collapsed="false">
      <c r="A7" s="10" t="s">
        <v>10</v>
      </c>
      <c r="B7" s="11" t="s">
        <v>44</v>
      </c>
      <c r="C7" s="11" t="s">
        <v>29</v>
      </c>
      <c r="D7" s="11" t="s">
        <v>45</v>
      </c>
      <c r="E7" s="11" t="s">
        <v>46</v>
      </c>
      <c r="F7" s="11" t="s">
        <v>47</v>
      </c>
      <c r="G7" s="12"/>
      <c r="H7" s="12"/>
      <c r="I7" s="11" t="s">
        <v>48</v>
      </c>
      <c r="J7" s="11" t="s">
        <v>49</v>
      </c>
    </row>
    <row r="8" customFormat="false" ht="15" hidden="false" customHeight="false" outlineLevel="0" collapsed="false">
      <c r="A8" s="10" t="s">
        <v>11</v>
      </c>
      <c r="B8" s="11" t="s">
        <v>50</v>
      </c>
      <c r="C8" s="11" t="s">
        <v>29</v>
      </c>
      <c r="D8" s="11" t="s">
        <v>45</v>
      </c>
      <c r="E8" s="11" t="s">
        <v>51</v>
      </c>
      <c r="F8" s="11" t="s">
        <v>52</v>
      </c>
      <c r="G8" s="12" t="n">
        <v>46223</v>
      </c>
      <c r="H8" s="12"/>
      <c r="I8" s="11" t="s">
        <v>53</v>
      </c>
      <c r="J8" s="11" t="s">
        <v>54</v>
      </c>
    </row>
    <row r="9" customFormat="false" ht="15" hidden="false" customHeight="false" outlineLevel="0" collapsed="false">
      <c r="A9" s="10" t="s">
        <v>11</v>
      </c>
      <c r="B9" s="11" t="s">
        <v>55</v>
      </c>
      <c r="C9" s="11" t="s">
        <v>29</v>
      </c>
      <c r="D9" s="11" t="s">
        <v>45</v>
      </c>
      <c r="E9" s="11" t="s">
        <v>51</v>
      </c>
      <c r="F9" s="11"/>
      <c r="G9" s="12"/>
      <c r="H9" s="12"/>
      <c r="I9" s="11" t="s">
        <v>56</v>
      </c>
      <c r="J9" s="11" t="s">
        <v>57</v>
      </c>
    </row>
    <row r="10" customFormat="false" ht="15" hidden="false" customHeight="false" outlineLevel="0" collapsed="false">
      <c r="A10" s="10" t="s">
        <v>11</v>
      </c>
      <c r="B10" s="11" t="s">
        <v>58</v>
      </c>
      <c r="C10" s="11" t="s">
        <v>29</v>
      </c>
      <c r="D10" s="11" t="s">
        <v>45</v>
      </c>
      <c r="E10" s="11" t="s">
        <v>51</v>
      </c>
      <c r="F10" s="11"/>
      <c r="G10" s="12"/>
      <c r="H10" s="12"/>
      <c r="I10" s="11" t="s">
        <v>59</v>
      </c>
      <c r="J10" s="11" t="s">
        <v>60</v>
      </c>
    </row>
    <row r="11" customFormat="false" ht="15" hidden="false" customHeight="false" outlineLevel="0" collapsed="false">
      <c r="A11" s="10" t="s">
        <v>11</v>
      </c>
      <c r="B11" s="11" t="s">
        <v>61</v>
      </c>
      <c r="C11" s="11" t="s">
        <v>29</v>
      </c>
      <c r="D11" s="11" t="s">
        <v>45</v>
      </c>
      <c r="E11" s="11" t="s">
        <v>62</v>
      </c>
      <c r="F11" s="11"/>
      <c r="G11" s="12"/>
      <c r="H11" s="12"/>
      <c r="I11" s="11" t="s">
        <v>63</v>
      </c>
      <c r="J11" s="11"/>
    </row>
    <row r="12" customFormat="false" ht="15" hidden="false" customHeight="false" outlineLevel="0" collapsed="false">
      <c r="A12" s="10" t="s">
        <v>12</v>
      </c>
      <c r="B12" s="11" t="s">
        <v>64</v>
      </c>
      <c r="C12" s="11" t="s">
        <v>29</v>
      </c>
      <c r="D12" s="11" t="s">
        <v>45</v>
      </c>
      <c r="E12" s="11" t="s">
        <v>65</v>
      </c>
      <c r="F12" s="11" t="s">
        <v>66</v>
      </c>
      <c r="G12" s="12"/>
      <c r="H12" s="12"/>
      <c r="I12" s="11" t="s">
        <v>67</v>
      </c>
      <c r="J12" s="11" t="s">
        <v>68</v>
      </c>
    </row>
    <row r="13" customFormat="false" ht="15" hidden="false" customHeight="false" outlineLevel="0" collapsed="false">
      <c r="A13" s="10" t="s">
        <v>13</v>
      </c>
      <c r="B13" s="11" t="s">
        <v>69</v>
      </c>
      <c r="C13" s="11" t="s">
        <v>29</v>
      </c>
      <c r="D13" s="11" t="s">
        <v>45</v>
      </c>
      <c r="E13" s="11" t="s">
        <v>70</v>
      </c>
      <c r="F13" s="11" t="s">
        <v>71</v>
      </c>
      <c r="G13" s="12"/>
      <c r="H13" s="12"/>
      <c r="I13" s="11" t="s">
        <v>72</v>
      </c>
      <c r="J13" s="11" t="s">
        <v>73</v>
      </c>
    </row>
    <row r="14" customFormat="false" ht="15" hidden="false" customHeight="false" outlineLevel="0" collapsed="false">
      <c r="A14" s="10" t="s">
        <v>13</v>
      </c>
      <c r="B14" s="11" t="s">
        <v>74</v>
      </c>
      <c r="C14" s="11" t="s">
        <v>35</v>
      </c>
      <c r="D14" s="11" t="s">
        <v>45</v>
      </c>
      <c r="E14" s="11" t="s">
        <v>75</v>
      </c>
      <c r="F14" s="11"/>
      <c r="G14" s="12"/>
      <c r="H14" s="12"/>
      <c r="I14" s="11" t="s">
        <v>76</v>
      </c>
      <c r="J14" s="11" t="s">
        <v>77</v>
      </c>
    </row>
    <row r="15" customFormat="false" ht="15" hidden="false" customHeight="false" outlineLevel="0" collapsed="false">
      <c r="A15" s="10" t="s">
        <v>14</v>
      </c>
      <c r="B15" s="11" t="s">
        <v>78</v>
      </c>
      <c r="C15" s="11" t="s">
        <v>29</v>
      </c>
      <c r="D15" s="11" t="s">
        <v>45</v>
      </c>
      <c r="E15" s="11" t="s">
        <v>79</v>
      </c>
      <c r="F15" s="11"/>
      <c r="G15" s="12"/>
      <c r="H15" s="12"/>
      <c r="I15" s="11" t="s">
        <v>80</v>
      </c>
      <c r="J15" s="11" t="s">
        <v>81</v>
      </c>
    </row>
    <row r="16" customFormat="false" ht="15" hidden="false" customHeight="false" outlineLevel="0" collapsed="false">
      <c r="A16" s="10" t="s">
        <v>14</v>
      </c>
      <c r="B16" s="11" t="s">
        <v>82</v>
      </c>
      <c r="C16" s="11" t="s">
        <v>29</v>
      </c>
      <c r="D16" s="11" t="s">
        <v>45</v>
      </c>
      <c r="E16" s="11" t="s">
        <v>79</v>
      </c>
      <c r="F16" s="11"/>
      <c r="G16" s="12"/>
      <c r="H16" s="12"/>
      <c r="I16" s="11" t="s">
        <v>83</v>
      </c>
      <c r="J16" s="11" t="s">
        <v>84</v>
      </c>
    </row>
    <row r="17" customFormat="false" ht="15" hidden="false" customHeight="false" outlineLevel="0" collapsed="false">
      <c r="A17" s="10" t="s">
        <v>14</v>
      </c>
      <c r="B17" s="11" t="s">
        <v>85</v>
      </c>
      <c r="C17" s="11" t="s">
        <v>29</v>
      </c>
      <c r="D17" s="11" t="s">
        <v>45</v>
      </c>
      <c r="E17" s="11" t="s">
        <v>86</v>
      </c>
      <c r="F17" s="11" t="s">
        <v>87</v>
      </c>
      <c r="G17" s="12"/>
      <c r="H17" s="12"/>
      <c r="I17" s="11" t="s">
        <v>88</v>
      </c>
      <c r="J17" s="11" t="s">
        <v>89</v>
      </c>
    </row>
    <row r="18" customFormat="false" ht="15" hidden="false" customHeight="false" outlineLevel="0" collapsed="false">
      <c r="A18" s="10" t="s">
        <v>14</v>
      </c>
      <c r="B18" s="11" t="s">
        <v>90</v>
      </c>
      <c r="C18" s="11" t="s">
        <v>29</v>
      </c>
      <c r="D18" s="11" t="s">
        <v>45</v>
      </c>
      <c r="E18" s="11" t="s">
        <v>79</v>
      </c>
      <c r="F18" s="11"/>
      <c r="G18" s="12"/>
      <c r="H18" s="12"/>
      <c r="I18" s="11" t="s">
        <v>91</v>
      </c>
      <c r="J18" s="11" t="s">
        <v>92</v>
      </c>
    </row>
    <row r="19" customFormat="false" ht="15" hidden="false" customHeight="false" outlineLevel="0" collapsed="false">
      <c r="A19" s="10" t="s">
        <v>14</v>
      </c>
      <c r="B19" s="11" t="s">
        <v>93</v>
      </c>
      <c r="C19" s="11" t="s">
        <v>29</v>
      </c>
      <c r="D19" s="11" t="s">
        <v>45</v>
      </c>
      <c r="E19" s="11" t="s">
        <v>94</v>
      </c>
      <c r="F19" s="11"/>
      <c r="G19" s="12"/>
      <c r="H19" s="12"/>
      <c r="I19" s="11" t="s">
        <v>95</v>
      </c>
      <c r="J19" s="11" t="s">
        <v>96</v>
      </c>
    </row>
    <row r="20" customFormat="false" ht="15" hidden="false" customHeight="false" outlineLevel="0" collapsed="false">
      <c r="A20" s="10" t="s">
        <v>10</v>
      </c>
      <c r="B20" s="11" t="s">
        <v>97</v>
      </c>
      <c r="C20" s="11" t="s">
        <v>29</v>
      </c>
      <c r="D20" s="11" t="s">
        <v>98</v>
      </c>
      <c r="E20" s="11" t="s">
        <v>31</v>
      </c>
      <c r="F20" s="11"/>
      <c r="G20" s="12"/>
      <c r="H20" s="12"/>
      <c r="I20" s="11" t="s">
        <v>99</v>
      </c>
      <c r="J20" s="11" t="s">
        <v>100</v>
      </c>
    </row>
    <row r="21" customFormat="false" ht="15" hidden="false" customHeight="false" outlineLevel="0" collapsed="false">
      <c r="A21" s="10" t="s">
        <v>10</v>
      </c>
      <c r="B21" s="11" t="s">
        <v>101</v>
      </c>
      <c r="C21" s="11" t="s">
        <v>29</v>
      </c>
      <c r="D21" s="11" t="s">
        <v>98</v>
      </c>
      <c r="E21" s="11" t="s">
        <v>31</v>
      </c>
      <c r="F21" s="11"/>
      <c r="G21" s="12"/>
      <c r="H21" s="12"/>
      <c r="I21" s="11" t="s">
        <v>102</v>
      </c>
      <c r="J21" s="11" t="s">
        <v>103</v>
      </c>
    </row>
    <row r="22" customFormat="false" ht="15" hidden="false" customHeight="false" outlineLevel="0" collapsed="false">
      <c r="A22" s="10" t="s">
        <v>10</v>
      </c>
      <c r="B22" s="11" t="s">
        <v>104</v>
      </c>
      <c r="C22" s="11" t="s">
        <v>29</v>
      </c>
      <c r="D22" s="11" t="s">
        <v>98</v>
      </c>
      <c r="E22" s="11" t="s">
        <v>31</v>
      </c>
      <c r="F22" s="11"/>
      <c r="G22" s="12"/>
      <c r="H22" s="12"/>
      <c r="I22" s="11" t="s">
        <v>105</v>
      </c>
      <c r="J22" s="11" t="s">
        <v>106</v>
      </c>
    </row>
    <row r="23" customFormat="false" ht="15" hidden="false" customHeight="false" outlineLevel="0" collapsed="false">
      <c r="A23" s="10" t="s">
        <v>10</v>
      </c>
      <c r="B23" s="11" t="s">
        <v>107</v>
      </c>
      <c r="C23" s="11" t="s">
        <v>29</v>
      </c>
      <c r="D23" s="11" t="s">
        <v>98</v>
      </c>
      <c r="E23" s="11" t="s">
        <v>108</v>
      </c>
      <c r="F23" s="11"/>
      <c r="G23" s="12"/>
      <c r="H23" s="12"/>
      <c r="I23" s="11" t="s">
        <v>109</v>
      </c>
      <c r="J23" s="11" t="s">
        <v>110</v>
      </c>
    </row>
    <row r="24" customFormat="false" ht="15" hidden="false" customHeight="false" outlineLevel="0" collapsed="false">
      <c r="A24" s="10" t="s">
        <v>11</v>
      </c>
      <c r="B24" s="11" t="s">
        <v>111</v>
      </c>
      <c r="C24" s="11" t="s">
        <v>29</v>
      </c>
      <c r="D24" s="11" t="s">
        <v>98</v>
      </c>
      <c r="E24" s="11" t="s">
        <v>112</v>
      </c>
      <c r="F24" s="11"/>
      <c r="G24" s="12"/>
      <c r="H24" s="12"/>
      <c r="I24" s="11" t="s">
        <v>113</v>
      </c>
      <c r="J24" s="11"/>
    </row>
    <row r="25" customFormat="false" ht="15" hidden="false" customHeight="false" outlineLevel="0" collapsed="false">
      <c r="A25" s="10" t="s">
        <v>11</v>
      </c>
      <c r="B25" s="11" t="s">
        <v>114</v>
      </c>
      <c r="C25" s="11" t="s">
        <v>29</v>
      </c>
      <c r="D25" s="11" t="s">
        <v>98</v>
      </c>
      <c r="E25" s="11" t="s">
        <v>51</v>
      </c>
      <c r="F25" s="11"/>
      <c r="G25" s="12"/>
      <c r="H25" s="12"/>
      <c r="I25" s="11" t="s">
        <v>115</v>
      </c>
      <c r="J25" s="11" t="s">
        <v>116</v>
      </c>
    </row>
    <row r="26" customFormat="false" ht="15" hidden="false" customHeight="false" outlineLevel="0" collapsed="false">
      <c r="A26" s="10" t="s">
        <v>11</v>
      </c>
      <c r="B26" s="11" t="s">
        <v>117</v>
      </c>
      <c r="C26" s="11" t="s">
        <v>29</v>
      </c>
      <c r="D26" s="11" t="s">
        <v>98</v>
      </c>
      <c r="E26" s="11" t="s">
        <v>51</v>
      </c>
      <c r="F26" s="11"/>
      <c r="G26" s="12"/>
      <c r="H26" s="12"/>
      <c r="I26" s="11" t="s">
        <v>118</v>
      </c>
      <c r="J26" s="11" t="s">
        <v>119</v>
      </c>
    </row>
    <row r="27" customFormat="false" ht="15" hidden="false" customHeight="false" outlineLevel="0" collapsed="false">
      <c r="A27" s="10" t="s">
        <v>11</v>
      </c>
      <c r="B27" s="11" t="s">
        <v>120</v>
      </c>
      <c r="C27" s="11" t="s">
        <v>29</v>
      </c>
      <c r="D27" s="11" t="s">
        <v>98</v>
      </c>
      <c r="E27" s="11" t="s">
        <v>51</v>
      </c>
      <c r="F27" s="11"/>
      <c r="G27" s="12"/>
      <c r="H27" s="12"/>
      <c r="I27" s="11" t="s">
        <v>121</v>
      </c>
      <c r="J27" s="11" t="s">
        <v>122</v>
      </c>
    </row>
    <row r="28" customFormat="false" ht="15" hidden="false" customHeight="false" outlineLevel="0" collapsed="false">
      <c r="A28" s="10" t="s">
        <v>11</v>
      </c>
      <c r="B28" s="11" t="s">
        <v>123</v>
      </c>
      <c r="C28" s="11" t="s">
        <v>124</v>
      </c>
      <c r="D28" s="11" t="s">
        <v>98</v>
      </c>
      <c r="E28" s="11" t="s">
        <v>51</v>
      </c>
      <c r="F28" s="11"/>
      <c r="G28" s="12"/>
      <c r="H28" s="12"/>
      <c r="I28" s="11" t="s">
        <v>125</v>
      </c>
      <c r="J28" s="11" t="s">
        <v>126</v>
      </c>
    </row>
    <row r="29" customFormat="false" ht="15" hidden="false" customHeight="false" outlineLevel="0" collapsed="false">
      <c r="A29" s="10" t="s">
        <v>11</v>
      </c>
      <c r="B29" s="11" t="s">
        <v>127</v>
      </c>
      <c r="C29" s="11" t="s">
        <v>124</v>
      </c>
      <c r="D29" s="11" t="s">
        <v>98</v>
      </c>
      <c r="E29" s="11" t="s">
        <v>51</v>
      </c>
      <c r="F29" s="11"/>
      <c r="G29" s="12"/>
      <c r="H29" s="12"/>
      <c r="I29" s="11" t="s">
        <v>128</v>
      </c>
      <c r="J29" s="11" t="s">
        <v>129</v>
      </c>
    </row>
    <row r="30" customFormat="false" ht="15" hidden="false" customHeight="false" outlineLevel="0" collapsed="false">
      <c r="A30" s="10" t="s">
        <v>11</v>
      </c>
      <c r="B30" s="11" t="s">
        <v>130</v>
      </c>
      <c r="C30" s="11" t="s">
        <v>124</v>
      </c>
      <c r="D30" s="11" t="s">
        <v>98</v>
      </c>
      <c r="E30" s="11" t="s">
        <v>108</v>
      </c>
      <c r="F30" s="11"/>
      <c r="G30" s="12"/>
      <c r="H30" s="12"/>
      <c r="I30" s="11" t="s">
        <v>131</v>
      </c>
      <c r="J30" s="11" t="s">
        <v>132</v>
      </c>
    </row>
    <row r="31" customFormat="false" ht="15" hidden="false" customHeight="false" outlineLevel="0" collapsed="false">
      <c r="A31" s="10" t="s">
        <v>12</v>
      </c>
      <c r="B31" s="11" t="s">
        <v>133</v>
      </c>
      <c r="C31" s="11" t="s">
        <v>29</v>
      </c>
      <c r="D31" s="11" t="s">
        <v>98</v>
      </c>
      <c r="E31" s="11" t="s">
        <v>134</v>
      </c>
      <c r="F31" s="11"/>
      <c r="G31" s="12"/>
      <c r="H31" s="12"/>
      <c r="I31" s="11" t="s">
        <v>135</v>
      </c>
      <c r="J31" s="11"/>
    </row>
    <row r="32" customFormat="false" ht="15" hidden="false" customHeight="false" outlineLevel="0" collapsed="false">
      <c r="A32" s="10" t="s">
        <v>14</v>
      </c>
      <c r="B32" s="11" t="s">
        <v>136</v>
      </c>
      <c r="C32" s="11" t="s">
        <v>124</v>
      </c>
      <c r="D32" s="11" t="s">
        <v>98</v>
      </c>
      <c r="E32" s="11" t="s">
        <v>79</v>
      </c>
      <c r="F32" s="11" t="s">
        <v>137</v>
      </c>
      <c r="G32" s="12"/>
      <c r="H32" s="12"/>
      <c r="I32" s="11" t="s">
        <v>138</v>
      </c>
      <c r="J32" s="11" t="s">
        <v>139</v>
      </c>
    </row>
    <row r="33" customFormat="false" ht="15" hidden="false" customHeight="false" outlineLevel="0" collapsed="false">
      <c r="A33" s="10" t="s">
        <v>14</v>
      </c>
      <c r="B33" s="11" t="s">
        <v>140</v>
      </c>
      <c r="C33" s="11" t="s">
        <v>124</v>
      </c>
      <c r="D33" s="11" t="s">
        <v>98</v>
      </c>
      <c r="E33" s="11" t="s">
        <v>79</v>
      </c>
      <c r="F33" s="11"/>
      <c r="G33" s="12"/>
      <c r="H33" s="12"/>
      <c r="I33" s="11" t="s">
        <v>141</v>
      </c>
      <c r="J33" s="11" t="s">
        <v>142</v>
      </c>
    </row>
    <row r="34" customFormat="false" ht="15" hidden="false" customHeight="false" outlineLevel="0" collapsed="false">
      <c r="A34" s="10" t="s">
        <v>14</v>
      </c>
      <c r="B34" s="11" t="s">
        <v>143</v>
      </c>
      <c r="C34" s="11" t="s">
        <v>124</v>
      </c>
      <c r="D34" s="11" t="s">
        <v>98</v>
      </c>
      <c r="E34" s="11" t="s">
        <v>79</v>
      </c>
      <c r="F34" s="11"/>
      <c r="G34" s="12"/>
      <c r="H34" s="12"/>
      <c r="I34" s="11" t="s">
        <v>144</v>
      </c>
      <c r="J34" s="11" t="s">
        <v>145</v>
      </c>
    </row>
    <row r="35" customFormat="false" ht="15" hidden="false" customHeight="false" outlineLevel="0" collapsed="false">
      <c r="A35" s="10" t="s">
        <v>10</v>
      </c>
      <c r="B35" s="11" t="s">
        <v>146</v>
      </c>
      <c r="C35" s="11" t="s">
        <v>29</v>
      </c>
      <c r="D35" s="11" t="s">
        <v>147</v>
      </c>
      <c r="E35" s="11" t="s">
        <v>31</v>
      </c>
      <c r="F35" s="11"/>
      <c r="G35" s="12"/>
      <c r="H35" s="12"/>
      <c r="I35" s="11" t="s">
        <v>148</v>
      </c>
      <c r="J35" s="11"/>
    </row>
    <row r="36" customFormat="false" ht="15" hidden="false" customHeight="false" outlineLevel="0" collapsed="false">
      <c r="A36" s="10" t="s">
        <v>10</v>
      </c>
      <c r="B36" s="11" t="s">
        <v>149</v>
      </c>
      <c r="C36" s="11" t="s">
        <v>150</v>
      </c>
      <c r="D36" s="11" t="s">
        <v>30</v>
      </c>
      <c r="E36" s="11" t="s">
        <v>31</v>
      </c>
      <c r="F36" s="11"/>
      <c r="G36" s="12"/>
      <c r="H36" s="12" t="n">
        <v>46206</v>
      </c>
      <c r="I36" s="11" t="s">
        <v>151</v>
      </c>
      <c r="J36" s="11" t="s">
        <v>152</v>
      </c>
    </row>
    <row r="37" customFormat="false" ht="15" hidden="false" customHeight="false" outlineLevel="0" collapsed="false">
      <c r="A37" s="10" t="s">
        <v>10</v>
      </c>
      <c r="B37" s="11" t="s">
        <v>153</v>
      </c>
      <c r="C37" s="11" t="s">
        <v>150</v>
      </c>
      <c r="D37" s="11" t="s">
        <v>30</v>
      </c>
      <c r="E37" s="11" t="s">
        <v>31</v>
      </c>
      <c r="F37" s="11"/>
      <c r="G37" s="12"/>
      <c r="H37" s="12"/>
      <c r="I37" s="11" t="s">
        <v>154</v>
      </c>
      <c r="J37" s="11"/>
    </row>
    <row r="38" customFormat="false" ht="15" hidden="false" customHeight="false" outlineLevel="0" collapsed="false">
      <c r="A38" s="10" t="s">
        <v>10</v>
      </c>
      <c r="B38" s="11" t="s">
        <v>155</v>
      </c>
      <c r="C38" s="11" t="s">
        <v>150</v>
      </c>
      <c r="D38" s="11" t="s">
        <v>30</v>
      </c>
      <c r="E38" s="11" t="s">
        <v>31</v>
      </c>
      <c r="F38" s="11"/>
      <c r="G38" s="12"/>
      <c r="H38" s="12" t="n">
        <v>46219</v>
      </c>
      <c r="I38" s="11" t="s">
        <v>156</v>
      </c>
      <c r="J38" s="11"/>
    </row>
    <row r="39" customFormat="false" ht="15" hidden="false" customHeight="false" outlineLevel="0" collapsed="false">
      <c r="A39" s="10" t="s">
        <v>10</v>
      </c>
      <c r="B39" s="11" t="s">
        <v>157</v>
      </c>
      <c r="C39" s="11" t="s">
        <v>150</v>
      </c>
      <c r="D39" s="11" t="s">
        <v>45</v>
      </c>
      <c r="E39" s="11" t="s">
        <v>31</v>
      </c>
      <c r="F39" s="11"/>
      <c r="G39" s="12"/>
      <c r="H39" s="12"/>
      <c r="I39" s="11" t="s">
        <v>158</v>
      </c>
      <c r="J39" s="11" t="s">
        <v>159</v>
      </c>
    </row>
    <row r="40" customFormat="false" ht="15" hidden="false" customHeight="false" outlineLevel="0" collapsed="false">
      <c r="A40" s="10" t="s">
        <v>12</v>
      </c>
      <c r="B40" s="11" t="s">
        <v>160</v>
      </c>
      <c r="C40" s="11" t="s">
        <v>150</v>
      </c>
      <c r="D40" s="11" t="s">
        <v>45</v>
      </c>
      <c r="E40" s="11" t="s">
        <v>134</v>
      </c>
      <c r="F40" s="11"/>
      <c r="G40" s="12"/>
      <c r="H40" s="12" t="n">
        <v>46213</v>
      </c>
      <c r="I40" s="11" t="s">
        <v>161</v>
      </c>
      <c r="J40" s="11"/>
    </row>
    <row r="41" customFormat="false" ht="15" hidden="false" customHeight="false" outlineLevel="0" collapsed="false">
      <c r="A41" s="10" t="s">
        <v>11</v>
      </c>
      <c r="B41" s="11" t="s">
        <v>162</v>
      </c>
      <c r="C41" s="11" t="s">
        <v>163</v>
      </c>
      <c r="D41" s="11" t="s">
        <v>147</v>
      </c>
      <c r="E41" s="11" t="s">
        <v>51</v>
      </c>
      <c r="F41" s="11"/>
      <c r="G41" s="12"/>
      <c r="H41" s="12"/>
      <c r="I41" s="11" t="s">
        <v>164</v>
      </c>
      <c r="J41" s="11" t="s">
        <v>165</v>
      </c>
    </row>
    <row r="42" customFormat="false" ht="15" hidden="false" customHeight="false" outlineLevel="0" collapsed="false">
      <c r="A42" s="10" t="s">
        <v>11</v>
      </c>
      <c r="B42" s="11" t="s">
        <v>166</v>
      </c>
      <c r="C42" s="11" t="s">
        <v>163</v>
      </c>
      <c r="D42" s="11" t="s">
        <v>147</v>
      </c>
      <c r="E42" s="11" t="s">
        <v>51</v>
      </c>
      <c r="F42" s="11"/>
      <c r="G42" s="12"/>
      <c r="H42" s="12"/>
      <c r="I42" s="11" t="s">
        <v>167</v>
      </c>
      <c r="J42" s="11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2026-07-19T10:33:47Z</dcterms:created>
  <dc:creator>openpyxl</dc:creator>
  <dc:description/>
  <dc:language>en-US</dc:language>
  <cp:lastModifiedBy/>
  <dcterms:modified xsi:type="dcterms:W3CDTF">2026-07-19T10:33:47Z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