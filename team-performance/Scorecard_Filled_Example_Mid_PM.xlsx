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ssment Scorecard" sheetId="1" state="visible" r:id="rId3"/>
    <sheet name="Parameters" sheetId="2" state="visible" r:id="rId4"/>
  </sheets>
  <definedNames>
    <definedName function="false" hidden="false" name="Culture" vbProcedure="false">'Assessment Scorecard'!$B$22:$B$70</definedName>
    <definedName function="false" hidden="false" name="Deliverables" vbProcedure="false">'Assessment Scorecard'!$B$73:$B$89</definedName>
    <definedName function="false" hidden="false" name="Dream_Team" vbProcedure="false">'Assessment Scorecard'!$D$22:$D$38</definedName>
    <definedName function="false" hidden="false" name="Get_Done" vbProcedure="false">'Assessment Scorecard'!$D$61:$D$70</definedName>
    <definedName function="false" hidden="false" name="Problem_Solving" vbProcedure="false">'Assessment Scorecard'!$D$92:$D$99</definedName>
    <definedName function="false" hidden="false" name="Product_Lifecycle" vbProcedure="false">'Assessment Scorecard'!$D$101:$D$112</definedName>
    <definedName function="false" hidden="false" name="Product_Thinking" vbProcedure="false">'Assessment Scorecard'!$D$114:$D$134</definedName>
    <definedName function="false" hidden="false" name="Push_Limits" vbProcedure="false">'Assessment Scorecard'!$D$40:$D$59</definedName>
    <definedName function="false" hidden="false" name="Skills" vbProcedure="false">'Assessment Scorecard'!$B$92:$B$134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Grade calculated as follows:
* Underperformer: at least one cultural value below bar
* Above Bar: all cultural values above  or at bar
* A-player: all cultural values above bar above bar by a full grade</t>
        </r>
      </text>
    </comment>
    <comment ref="F7" authorId="0">
      <text>
        <r>
          <rPr>
            <sz val="10"/>
            <rFont val="Arial"/>
            <family val="2"/>
          </rPr>
          <t xml:space="preserve">Grade calculated as follows:
* Underperformer: score below bar
* Above Bar: score above or at bar
* A-player: score above bar by one full grade</t>
        </r>
      </text>
    </comment>
    <comment ref="F8" authorId="0">
      <text>
        <r>
          <rPr>
            <sz val="10"/>
            <rFont val="Arial"/>
            <family val="2"/>
          </rPr>
          <t xml:space="preserve">Grade calculated as follows:
* Underperformer: at least one skill below bar
* Above Bar: all skills above or at bar
* A-player: all skills above bar by a full grade</t>
        </r>
      </text>
    </comment>
    <comment ref="F9" authorId="0">
      <text>
        <r>
          <rPr>
            <sz val="10"/>
            <rFont val="Arial"/>
            <family val="2"/>
          </rPr>
          <t xml:space="preserve">Grade calculated as follows:
* Underperformer: at least one "Underperformer"
* Above Bar: all grades above the bar, max one grade "A-player"
* Strong: all grades above the bar, more than one "A-player" 
</t>
        </r>
      </text>
    </comment>
    <comment ref="F15" authorId="0">
      <text>
        <r>
          <rPr>
            <sz val="10"/>
            <rFont val="Arial"/>
            <family val="2"/>
          </rPr>
          <t xml:space="preserve">Calculated using the formula:
Complexity * (Quality + Speed)</t>
        </r>
      </text>
    </comment>
    <comment ref="M20" authorId="0">
      <text>
        <r>
          <rPr>
            <sz val="10"/>
            <rFont val="Arial"/>
            <family val="2"/>
          </rPr>
          <t xml:space="preserve">Use N/A only where the requirement does truly not apply (i.e. "Attracts and retains only A-players" within dream team does not apply to you if you don't have a team)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These scales convert qualitative scores into numbers, in order to aggregate and compare them</t>
        </r>
      </text>
    </comment>
    <comment ref="B13" authorId="0">
      <text>
        <r>
          <rPr>
            <sz val="10"/>
            <rFont val="Arial"/>
            <family val="2"/>
          </rPr>
          <t xml:space="preserve">Modify the scorecard to better the roles and seniorities of your company</t>
        </r>
      </text>
    </comment>
  </commentList>
</comments>
</file>

<file path=xl/sharedStrings.xml><?xml version="1.0" encoding="utf-8"?>
<sst xmlns="http://schemas.openxmlformats.org/spreadsheetml/2006/main" count="448" uniqueCount="188">
  <si>
    <t xml:space="preserve">Performance Review Template: Product Owner</t>
  </si>
  <si>
    <t xml:space="preserve">Download a copy to play with the file!</t>
  </si>
  <si>
    <t xml:space="preserve">Space for your KPIs</t>
  </si>
  <si>
    <t xml:space="preserve">Employee Full Name:</t>
  </si>
  <si>
    <t xml:space="preserve">Sample PM (illustrative, not a real person)</t>
  </si>
  <si>
    <t xml:space="preserve">KPI - Q3 26</t>
  </si>
  <si>
    <t xml:space="preserve">Achieved?</t>
  </si>
  <si>
    <t xml:space="preserve">Link</t>
  </si>
  <si>
    <t xml:space="preserve">Seniority:</t>
  </si>
  <si>
    <t xml:space="preserve">Mid</t>
  </si>
  <si>
    <t xml:space="preserve">D1 line outcome: monthly disbursement vs target (P__, TBD with Ivan)</t>
  </si>
  <si>
    <t xml:space="preserve">TBD end Q3</t>
  </si>
  <si>
    <t xml:space="preserve">Tracker: KPI Targets H2</t>
  </si>
  <si>
    <t xml:space="preserve">Culture Grade</t>
  </si>
  <si>
    <t xml:space="preserve">D2 key driver: acceptance and conversion vs target (TBD)</t>
  </si>
  <si>
    <t xml:space="preserve">Deliverables Grade</t>
  </si>
  <si>
    <t xml:space="preserve">D3 delivery: agreed roadmap steps shipped on pace (on-time rate)</t>
  </si>
  <si>
    <t xml:space="preserve">On track</t>
  </si>
  <si>
    <t xml:space="preserve">Delivery Scoreboard</t>
  </si>
  <si>
    <t xml:space="preserve">Skills Grade</t>
  </si>
  <si>
    <t xml:space="preserve">Overall Grade</t>
  </si>
  <si>
    <t xml:space="preserve">Space for Feedback </t>
  </si>
  <si>
    <t xml:space="preserve">Your Score</t>
  </si>
  <si>
    <t xml:space="preserve">Diff</t>
  </si>
  <si>
    <t xml:space="preserve">Talent Bar</t>
  </si>
  <si>
    <t xml:space="preserve">Strengths</t>
  </si>
  <si>
    <t xml:space="preserve">Culture</t>
  </si>
  <si>
    <t xml:space="preserve">Dream Team</t>
  </si>
  <si>
    <t xml:space="preserve">Owns problems end to end, strong bias to action</t>
  </si>
  <si>
    <t xml:space="preserve">Push the Limits</t>
  </si>
  <si>
    <t xml:space="preserve">Data-driven prioritization, solid grasp of the metric tree</t>
  </si>
  <si>
    <t xml:space="preserve">Get It Done</t>
  </si>
  <si>
    <t xml:space="preserve">Reliable delivery track record in the exec tracker</t>
  </si>
  <si>
    <t xml:space="preserve">Deliverables Score</t>
  </si>
  <si>
    <t xml:space="preserve">Improvement Areas</t>
  </si>
  <si>
    <t xml:space="preserve">Skills</t>
  </si>
  <si>
    <t xml:space="preserve">Problem Solving</t>
  </si>
  <si>
    <t xml:space="preserve">Push the limits: propose new levers, not only execute the agreed ones</t>
  </si>
  <si>
    <t xml:space="preserve">Lifecycle Management</t>
  </si>
  <si>
    <t xml:space="preserve">Sharpen margin and risk diagnosis (Tier 2 questions)</t>
  </si>
  <si>
    <t xml:space="preserve">Product Sense</t>
  </si>
  <si>
    <t xml:space="preserve">Raise first-pass quality to cut iterations to done</t>
  </si>
  <si>
    <t xml:space="preserve">Score</t>
  </si>
  <si>
    <t xml:space="preserve">Description</t>
  </si>
  <si>
    <t xml:space="preserve">Yes/No</t>
  </si>
  <si>
    <t xml:space="preserve">Value</t>
  </si>
  <si>
    <t xml:space="preserve">Toggle</t>
  </si>
  <si>
    <t xml:space="preserve">Adj Val</t>
  </si>
  <si>
    <t xml:space="preserve">Examples</t>
  </si>
  <si>
    <t xml:space="preserve">Culture 
(based on QuantumLight's own values)</t>
  </si>
  <si>
    <t xml:space="preserve">POOR</t>
  </si>
  <si>
    <t xml:space="preserve">Close minded and defensive</t>
  </si>
  <si>
    <t xml:space="preserve">No</t>
  </si>
  <si>
    <t xml:space="preserve">Obviously political in behaviour</t>
  </si>
  <si>
    <t xml:space="preserve">Emotional to direct feedback</t>
  </si>
  <si>
    <t xml:space="preserve">Low talent bar</t>
  </si>
  <si>
    <t xml:space="preserve">BASIC</t>
  </si>
  <si>
    <t xml:space="preserve">An open-minded, calm approach to harsh feedback</t>
  </si>
  <si>
    <t xml:space="preserve">Yes</t>
  </si>
  <si>
    <t xml:space="preserve">Respectfully delivers candid feedback in a non-personal way</t>
  </si>
  <si>
    <t xml:space="preserve">Does not play politics, puts company interests ahead of their own</t>
  </si>
  <si>
    <t xml:space="preserve">INTERMEDIATE</t>
  </si>
  <si>
    <t xml:space="preserve">Driver, not a passenger - initiates, leads, motivates others</t>
  </si>
  <si>
    <t xml:space="preserve">Establishes an emotional connection early to maximise performance</t>
  </si>
  <si>
    <t xml:space="preserve">e.g. led partner sync during launch week without being asked</t>
  </si>
  <si>
    <t xml:space="preserve">Tough coach: hires, keeps and develops only the best talent</t>
  </si>
  <si>
    <t xml:space="preserve">e.g. flagged and closed the weakest vendor option</t>
  </si>
  <si>
    <t xml:space="preserve">ADVANCED</t>
  </si>
  <si>
    <t xml:space="preserve">Able to identify culture fit in current and potential employees</t>
  </si>
  <si>
    <t xml:space="preserve">Knows in great detail strengths and weaknesses of their A-players</t>
  </si>
  <si>
    <t xml:space="preserve">Attracts and retains only A-players, puts them in the right position to win</t>
  </si>
  <si>
    <t xml:space="preserve">Successfully bets on people with exceptional return-on-investment</t>
  </si>
  <si>
    <t xml:space="preserve">EXCEPTIONAL</t>
  </si>
  <si>
    <t xml:space="preserve">A mastermind of people, re-defines industries and expectations</t>
  </si>
  <si>
    <t xml:space="preserve">EXPERT</t>
  </si>
  <si>
    <t xml:space="preserve">Has scientific approach to building a perfect team</t>
  </si>
  <si>
    <t xml:space="preserve">Able to identify and attract transformational hires to the company</t>
  </si>
  <si>
    <t xml:space="preserve">Your Grade:</t>
  </si>
  <si>
    <t xml:space="preserve">Push The Limits</t>
  </si>
  <si>
    <t xml:space="preserve">Not driven by numbers or data</t>
  </si>
  <si>
    <t xml:space="preserve">No structured approach</t>
  </si>
  <si>
    <t xml:space="preserve">Picks the easy option when challenged</t>
  </si>
  <si>
    <t xml:space="preserve">Relatively modest ambitions</t>
  </si>
  <si>
    <t xml:space="preserve">Weak logic, fantastical/utopian thinking patterns, mis-statements, exaggerations</t>
  </si>
  <si>
    <t xml:space="preserve">Ambitious: pushes themselves, pushes others</t>
  </si>
  <si>
    <t xml:space="preserve">Learns voraciously, obsessed with self-improvement</t>
  </si>
  <si>
    <t xml:space="preserve">Strives for excellence: holds a high talent bar, a high-quality bar</t>
  </si>
  <si>
    <t xml:space="preserve">Raw smart and wise</t>
  </si>
  <si>
    <t xml:space="preserve">Consistently innovates, iterating new approaches to problems</t>
  </si>
  <si>
    <t xml:space="preserve">Hyperlogical, challenges crowd thinking, is right a lot</t>
  </si>
  <si>
    <t xml:space="preserve">Dives deep in complex areas and simplifies them </t>
  </si>
  <si>
    <t xml:space="preserve">Regularly contributes outside of core responsibilities</t>
  </si>
  <si>
    <t xml:space="preserve">Great with both creative and logical thinking</t>
  </si>
  <si>
    <t xml:space="preserve">Connects dots in multiple areas/industries/products</t>
  </si>
  <si>
    <t xml:space="preserve">Can extract the essence from highly complex matters and explain it in plain English</t>
  </si>
  <si>
    <t xml:space="preserve">Able to model complex reality through advanced methods</t>
  </si>
  <si>
    <t xml:space="preserve">Stellar track record of almost unbelievable achievements </t>
  </si>
  <si>
    <t xml:space="preserve">Relentlessly pushes themselves and others to become number one in the world</t>
  </si>
  <si>
    <t xml:space="preserve">Ability to see through chaotic complexity and identify patterns, principles and universal laws</t>
  </si>
  <si>
    <t xml:space="preserve">Inconsistent track record of impactful deliverables</t>
  </si>
  <si>
    <t xml:space="preserve">Average work ethics: rarely put in the additional effort when required</t>
  </si>
  <si>
    <t xml:space="preserve">Lacks grit, backbone, tenacity, focus</t>
  </si>
  <si>
    <t xml:space="preserve">Ownership: delivers an impressive volume of impactful work</t>
  </si>
  <si>
    <t xml:space="preserve">Possesses grit, tenacity, focus and bias to action</t>
  </si>
  <si>
    <t xml:space="preserve">Able to deliver complex projects</t>
  </si>
  <si>
    <t xml:space="preserve">e.g. shipped the launch comms flow end to end</t>
  </si>
  <si>
    <t xml:space="preserve">Excellent work ethic: works incredibly hard and goes the extra mile to deliver outstanding results					</t>
  </si>
  <si>
    <t xml:space="preserve">Can break through walls and achieve almost impossible goals</t>
  </si>
  <si>
    <t xml:space="preserve">Strategic approach - is able to create an innovative strategy to implement the business vision</t>
  </si>
  <si>
    <t xml:space="preserve">Almost unbelievable ability to get things done with almost zero resources</t>
  </si>
  <si>
    <t xml:space="preserve">Deliverables</t>
  </si>
  <si>
    <t xml:space="preserve">Complexity</t>
  </si>
  <si>
    <t xml:space="preserve">Delivers standard tasks, done many times before within the organisation</t>
  </si>
  <si>
    <t xml:space="preserve">Delivers a mix of standard and non-standard tasks </t>
  </si>
  <si>
    <t xml:space="preserve">Delivers non-standard tasks, with few comparisons available within the organisation</t>
  </si>
  <si>
    <t xml:space="preserve">Delivers highly complex tasks, with no / rare precedents</t>
  </si>
  <si>
    <t xml:space="preserve">Delivers exceptionally difficult and complex tasks requiring inventions of new methods</t>
  </si>
  <si>
    <t xml:space="preserve">Quality</t>
  </si>
  <si>
    <t xml:space="preserve">The quality is unacceptably low</t>
  </si>
  <si>
    <t xml:space="preserve">Tasks are delivered to an acceptable standard, sometimes require several iterations before completion</t>
  </si>
  <si>
    <t xml:space="preserve">Tasks are delivered to a high standard, typically require only 1 iteration</t>
  </si>
  <si>
    <t xml:space="preserve">Tasks are always delivered to high standard, and require no iterations</t>
  </si>
  <si>
    <t xml:space="preserve">Able to create a vision for the business, translate into actionable plan and build a machine to execute.</t>
  </si>
  <si>
    <t xml:space="preserve">Speed</t>
  </si>
  <si>
    <t xml:space="preserve">Usually delivers tasks late, misses important deadlines</t>
  </si>
  <si>
    <t xml:space="preserve">Usually completes tasks on time, rarely misses deadlines</t>
  </si>
  <si>
    <t xml:space="preserve">Always meets deadlines, often beats them</t>
  </si>
  <si>
    <t xml:space="preserve">Delivers very fast, habitually beats deadlines</t>
  </si>
  <si>
    <t xml:space="preserve">Self-guided missile - finds important targets, executes with exceptional standard beating deadlines by huge margins</t>
  </si>
  <si>
    <t xml:space="preserve">Demonstrates unstructured probelm-solving, fails to identify root causes or address basic symptoms </t>
  </si>
  <si>
    <t xml:space="preserve">Shows common sense by recognizing false statements or assumptions</t>
  </si>
  <si>
    <t xml:space="preserve">Can break down simple problems based on data and resolve them</t>
  </si>
  <si>
    <t xml:space="preserve">Identifies errors in seemingly correct statements or assumptions by applying critical thinking</t>
  </si>
  <si>
    <t xml:space="preserve">Delves into complex problems until reaching a deep understanding</t>
  </si>
  <si>
    <t xml:space="preserve">e.g. traced a conversion drop to one config error</t>
  </si>
  <si>
    <t xml:space="preserve">Can synthesize a solution and connect issues that might not seem relevant at first</t>
  </si>
  <si>
    <t xml:space="preserve">Approaches problem solving in an innovative way</t>
  </si>
  <si>
    <t xml:space="preserve">Engages in abstract thinking and can solve challenging problems by applying various advanced scientific methods</t>
  </si>
  <si>
    <t xml:space="preserve">Demonstrates limited understanding of the product development lifecycle</t>
  </si>
  <si>
    <t xml:space="preserve">Is familiar with the stages of product development lifecycle</t>
  </si>
  <si>
    <t xml:space="preserve">Can follow a process and ensures consistency through each stage</t>
  </si>
  <si>
    <t xml:space="preserve">Can collaborate with various teams across the organization involved in the product development process</t>
  </si>
  <si>
    <t xml:space="preserve">Can translate user needs into actionable product features and specifications</t>
  </si>
  <si>
    <t xml:space="preserve">Can use Agile or Lean methodologies for product development</t>
  </si>
  <si>
    <t xml:space="preserve">Plans and executes quality assurance, to maintain high-quality standards</t>
  </si>
  <si>
    <t xml:space="preserve">Takes a leading role in shaping product strategy and roadmap and takes into consideration market trends and business goals</t>
  </si>
  <si>
    <t xml:space="preserve">Demonstrates proficiency in product design and UX/UI principles, collaborating with design teams for intuitive interfaces</t>
  </si>
  <si>
    <t xml:space="preserve">Is experienced in launching new products and developing go-to-market strategies, including marketing, pricing, etc. and ensures successful roll-outs</t>
  </si>
  <si>
    <t xml:space="preserve">Demonstrates strategic approach to product planning that position products for long-term success</t>
  </si>
  <si>
    <t xml:space="preserve">Innovates in the product development lifecycle, staying updated with trends and technology</t>
  </si>
  <si>
    <t xml:space="preserve">Lacks market awareness and cannot conduct basic market research</t>
  </si>
  <si>
    <t xml:space="preserve">Unable to prioritize</t>
  </si>
  <si>
    <t xml:space="preserve">Neglects to review technical specs</t>
  </si>
  <si>
    <t xml:space="preserve">Can write user stories with clear acceptance criteria</t>
  </si>
  <si>
    <t xml:space="preserve">Can conduct market analysis in order to enhance features</t>
  </si>
  <si>
    <t xml:space="preserve">Uses performance and risk metrics to monitor new releases systematically</t>
  </si>
  <si>
    <t xml:space="preserve">Can do basic technical review and ask questions</t>
  </si>
  <si>
    <t xml:space="preserve">Prioritizes changes to optimize KPIs</t>
  </si>
  <si>
    <t xml:space="preserve">Defines new products end-to-end and validates ideas through testing</t>
  </si>
  <si>
    <t xml:space="preserve">Conducts systematic market research to identify gaps in product features</t>
  </si>
  <si>
    <t xml:space="preserve">Conducts detailed review of technical specs and understands different algorithms and how they can be used for problem solving</t>
  </si>
  <si>
    <t xml:space="preserve">Develops and tracks the appropriate metrics to inform decision making</t>
  </si>
  <si>
    <t xml:space="preserve">Can prioritize based on business impact, using data to assess it</t>
  </si>
  <si>
    <t xml:space="preserve">Ensures high-quality work by consistently applying clear frameworks </t>
  </si>
  <si>
    <t xml:space="preserve">Can successfully position new products within the competitive landscape</t>
  </si>
  <si>
    <t xml:space="preserve">Manages multiples competing objectives in an effective way</t>
  </si>
  <si>
    <t xml:space="preserve">Develops performance metrics to incentivize entire departments</t>
  </si>
  <si>
    <t xml:space="preserve">Defines technical requirements and ensures solution delivery meets expectations through thorough reviews</t>
  </si>
  <si>
    <t xml:space="preserve">Leads platform-level design and displays innovative thinking</t>
  </si>
  <si>
    <t xml:space="preserve">Has engineering level understanding of the solution</t>
  </si>
  <si>
    <t xml:space="preserve">Sets new industry standards and drives trends</t>
  </si>
  <si>
    <t xml:space="preserve">Scoring Scale</t>
  </si>
  <si>
    <t xml:space="preserve">Grade</t>
  </si>
  <si>
    <t xml:space="preserve">Score for Grading</t>
  </si>
  <si>
    <t xml:space="preserve">Score for Deliverables</t>
  </si>
  <si>
    <t xml:space="preserve">Poor</t>
  </si>
  <si>
    <t xml:space="preserve">Basic</t>
  </si>
  <si>
    <t xml:space="preserve">Intermediate</t>
  </si>
  <si>
    <t xml:space="preserve">Advanced</t>
  </si>
  <si>
    <t xml:space="preserve">Exceptional</t>
  </si>
  <si>
    <t xml:space="preserve">Competency Matrices</t>
  </si>
  <si>
    <t xml:space="preserve">Number Version</t>
  </si>
  <si>
    <t xml:space="preserve">Get it Done</t>
  </si>
  <si>
    <t xml:space="preserve">Junior</t>
  </si>
  <si>
    <t xml:space="preserve">Senior</t>
  </si>
  <si>
    <t xml:space="preserve">Lead</t>
  </si>
  <si>
    <t xml:space="preserve">Workings</t>
  </si>
  <si>
    <t xml:space="preserve">Employee Performance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</si>
</sst>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5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8"/>
      <color rgb="FFFF0000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u val="single"/>
      <sz val="9"/>
      <color rgb="FF0000FF"/>
      <name val="Cambria"/>
      <family val="0"/>
      <charset val="1"/>
    </font>
    <font>
      <i val="true"/>
      <u val="single"/>
      <sz val="9"/>
      <color rgb="FF0000FF"/>
      <name val="Cambria"/>
      <family val="0"/>
      <charset val="1"/>
    </font>
    <font>
      <i val="true"/>
      <sz val="9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theme="4"/>
      <name val="Arial"/>
      <family val="0"/>
      <charset val="1"/>
    </font>
    <font>
      <b val="true"/>
      <sz val="9"/>
      <color theme="4"/>
      <name val="Arial"/>
      <family val="0"/>
      <charset val="1"/>
    </font>
    <font>
      <b val="true"/>
      <sz val="9"/>
      <color rgb="FFFF8282"/>
      <name val="Arial"/>
      <family val="0"/>
      <charset val="1"/>
    </font>
    <font>
      <sz val="9"/>
      <color rgb="FF172B4D"/>
      <name val="Arial"/>
      <family val="0"/>
      <charset val="1"/>
    </font>
    <font>
      <sz val="9"/>
      <color rgb="FFFFF1F1"/>
      <name val="Arial"/>
      <family val="0"/>
      <charset val="1"/>
    </font>
    <font>
      <sz val="9"/>
      <color rgb="FFFDF1F1"/>
      <name val="Arial"/>
      <family val="0"/>
      <charset val="1"/>
    </font>
    <font>
      <b val="true"/>
      <sz val="9"/>
      <color rgb="FFFFA582"/>
      <name val="Arial"/>
      <family val="0"/>
      <charset val="1"/>
    </font>
    <font>
      <sz val="9"/>
      <color rgb="FFFFEAE2"/>
      <name val="Arial"/>
      <family val="0"/>
      <charset val="1"/>
    </font>
    <font>
      <b val="true"/>
      <sz val="9"/>
      <color rgb="FFC5B55D"/>
      <name val="Arial"/>
      <family val="0"/>
      <charset val="1"/>
    </font>
    <font>
      <sz val="9"/>
      <color rgb="FFFFF9D7"/>
      <name val="Arial"/>
      <family val="0"/>
      <charset val="1"/>
    </font>
    <font>
      <b val="true"/>
      <sz val="9"/>
      <color rgb="FF83AD6F"/>
      <name val="Arial"/>
      <family val="0"/>
      <charset val="1"/>
    </font>
    <font>
      <sz val="9"/>
      <color rgb="FFEAFFE0"/>
      <name val="Arial"/>
      <family val="0"/>
      <charset val="1"/>
    </font>
    <font>
      <b val="true"/>
      <sz val="9"/>
      <color rgb="FF5AA1AA"/>
      <name val="Arial"/>
      <family val="0"/>
      <charset val="1"/>
    </font>
    <font>
      <sz val="9"/>
      <color rgb="FFD6F5F9"/>
      <name val="Arial"/>
      <family val="0"/>
      <charset val="1"/>
    </font>
    <font>
      <b val="true"/>
      <sz val="9"/>
      <color rgb="FFFFF1F1"/>
      <name val="Arial"/>
      <family val="0"/>
      <charset val="1"/>
    </font>
    <font>
      <b val="true"/>
      <sz val="9"/>
      <color rgb="FFFFEAE2"/>
      <name val="Arial"/>
      <family val="0"/>
      <charset val="1"/>
    </font>
    <font>
      <b val="true"/>
      <sz val="9"/>
      <color rgb="FFFFF9D7"/>
      <name val="Arial"/>
      <family val="0"/>
      <charset val="1"/>
    </font>
    <font>
      <b val="true"/>
      <sz val="9"/>
      <color rgb="FFEAFFE0"/>
      <name val="Arial"/>
      <family val="0"/>
      <charset val="1"/>
    </font>
    <font>
      <sz val="9"/>
      <color rgb="FF172B4D"/>
      <name val="-apple-system"/>
      <family val="0"/>
      <charset val="1"/>
    </font>
    <font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4285F4"/>
      <name val="Arial"/>
      <family val="0"/>
      <charset val="1"/>
    </font>
    <font>
      <b val="true"/>
      <sz val="9"/>
      <color rgb="FFD6F5F9"/>
      <name val="Arial"/>
      <family val="0"/>
      <charset val="1"/>
    </font>
    <font>
      <sz val="10"/>
      <name val="Arial"/>
      <family val="2"/>
    </font>
    <font>
      <sz val="10"/>
      <color theme="1"/>
      <name val="Arial"/>
      <family val="0"/>
      <charset val="1"/>
    </font>
    <font>
      <sz val="10"/>
      <color theme="0"/>
      <name val="Arial"/>
      <family val="0"/>
      <charset val="1"/>
    </font>
    <font>
      <b val="true"/>
      <sz val="10"/>
      <color theme="0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FEFEF"/>
        <bgColor rgb="FFF3F3F3"/>
      </patternFill>
    </fill>
    <fill>
      <patternFill patternType="solid">
        <fgColor rgb="FFD9D9D9"/>
        <bgColor rgb="FFCCCCCC"/>
      </patternFill>
    </fill>
    <fill>
      <patternFill patternType="solid">
        <fgColor rgb="FFF3F3F3"/>
        <bgColor rgb="FFEFEFEF"/>
      </patternFill>
    </fill>
    <fill>
      <patternFill patternType="solid">
        <fgColor theme="4"/>
        <bgColor rgb="FF5AA1AA"/>
      </patternFill>
    </fill>
    <fill>
      <patternFill patternType="solid">
        <fgColor rgb="FFFFFFFF"/>
        <bgColor rgb="FFFFF1F1"/>
      </patternFill>
    </fill>
    <fill>
      <patternFill patternType="solid">
        <fgColor rgb="FFFFF1F1"/>
        <bgColor rgb="FFFDF1F1"/>
      </patternFill>
    </fill>
    <fill>
      <patternFill patternType="solid">
        <fgColor rgb="FFFFEAE2"/>
        <bgColor rgb="FFFFF1F1"/>
      </patternFill>
    </fill>
    <fill>
      <patternFill patternType="solid">
        <fgColor rgb="FFFFF9D7"/>
        <bgColor rgb="FFFFF2CC"/>
      </patternFill>
    </fill>
    <fill>
      <patternFill patternType="solid">
        <fgColor rgb="FFEAFFE0"/>
        <bgColor rgb="FFF3F3F3"/>
      </patternFill>
    </fill>
    <fill>
      <patternFill patternType="solid">
        <fgColor rgb="FFD6F5F9"/>
        <bgColor rgb="FFEFEFEF"/>
      </patternFill>
    </fill>
    <fill>
      <patternFill patternType="solid">
        <fgColor rgb="FFFFF2CC"/>
        <bgColor rgb="FFFFF9D7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CC00"/>
      </patternFill>
    </fill>
    <fill>
      <patternFill patternType="solid">
        <fgColor theme="7"/>
        <bgColor rgb="FF5AA1AA"/>
      </patternFill>
    </fill>
    <fill>
      <patternFill patternType="solid">
        <fgColor rgb="FFCCCCCC"/>
        <bgColor rgb="FFD9D9D9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 style="thick"/>
      <bottom style="dotted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dotted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dotted"/>
      <top/>
      <bottom/>
      <diagonal/>
    </border>
    <border diagonalUp="false" diagonalDown="false">
      <left/>
      <right style="dotted"/>
      <top style="thin"/>
      <bottom/>
      <diagonal/>
    </border>
    <border diagonalUp="false" diagonalDown="false">
      <left style="thick">
        <color rgb="FF4285F4"/>
      </left>
      <right style="thick">
        <color rgb="FF4285F4"/>
      </right>
      <top style="thick">
        <color rgb="FF4285F4"/>
      </top>
      <bottom style="thick">
        <color rgb="FF4285F4"/>
      </bottom>
      <diagonal/>
    </border>
    <border diagonalUp="false" diagonalDown="false">
      <left/>
      <right style="thick">
        <color rgb="FF4285F4"/>
      </right>
      <top style="thick">
        <color rgb="FF4285F4"/>
      </top>
      <bottom style="thick">
        <color rgb="FF4285F4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9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1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1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1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8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9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1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1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11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11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1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1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3" fillId="11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9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9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9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9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9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4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34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34" fillId="1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11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11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9" fillId="11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9" fillId="11" borderId="1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9" fillId="12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12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34" fillId="12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9" fillId="12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4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11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34" fillId="11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9" fillId="12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9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1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11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1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11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5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4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EAFFE0"/>
        </patternFill>
      </fill>
    </dxf>
    <dxf>
      <font>
        <color rgb="FFFFFFFF"/>
      </font>
      <fill>
        <patternFill>
          <bgColor rgb="FF34A853"/>
        </patternFill>
      </fill>
    </dxf>
    <dxf>
      <font>
        <color rgb="FF000000"/>
      </font>
      <fill>
        <patternFill>
          <bgColor rgb="FFFFF1F1"/>
        </patternFill>
      </fill>
    </dxf>
    <dxf>
      <font>
        <color rgb="FFFFFFFF"/>
      </font>
      <fill>
        <patternFill>
          <bgColor rgb="FFEA4335"/>
        </patternFill>
      </fill>
    </dxf>
    <dxf>
      <font>
        <color rgb="FFFFFFFF"/>
      </font>
      <fill>
        <patternFill>
          <bgColor rgb="FFEA4335"/>
        </patternFill>
      </fill>
    </dxf>
    <dxf>
      <font>
        <color rgb="FF000000"/>
      </font>
      <fill>
        <patternFill>
          <bgColor rgb="FFEAFFE0"/>
        </patternFill>
      </fill>
    </dxf>
    <dxf>
      <font>
        <color rgb="FFFFFFFF"/>
      </font>
      <fill>
        <patternFill>
          <bgColor rgb="FF34A853"/>
        </patternFill>
      </fill>
    </dxf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1F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5AA1AA"/>
      <rgbColor rgb="FF9999FF"/>
      <rgbColor rgb="FF993366"/>
      <rgbColor rgb="FFFFF9D7"/>
      <rgbColor rgb="FFD6F5F9"/>
      <rgbColor rgb="FF660066"/>
      <rgbColor rgb="FFFF8282"/>
      <rgbColor rgb="FF0066CC"/>
      <rgbColor rgb="FFCCCCCC"/>
      <rgbColor rgb="FF000080"/>
      <rgbColor rgb="FFFF00FF"/>
      <rgbColor rgb="FFFDF1F1"/>
      <rgbColor rgb="FF00FFFF"/>
      <rgbColor rgb="FF800080"/>
      <rgbColor rgb="FF800000"/>
      <rgbColor rgb="FF008080"/>
      <rgbColor rgb="FF0000FF"/>
      <rgbColor rgb="FF00CCFF"/>
      <rgbColor rgb="FFEFEFEF"/>
      <rgbColor rgb="FFEAFFE0"/>
      <rgbColor rgb="FFFFF2CC"/>
      <rgbColor rgb="FFF3F3F3"/>
      <rgbColor rgb="FFFFA582"/>
      <rgbColor rgb="FFFFEAE2"/>
      <rgbColor rgb="FFD9D9D9"/>
      <rgbColor rgb="FF4285F4"/>
      <rgbColor rgb="FF33CCCC"/>
      <rgbColor rgb="FFC5B55D"/>
      <rgbColor rgb="FFFFCC00"/>
      <rgbColor rgb="FFFF9900"/>
      <rgbColor rgb="FFEA4335"/>
      <rgbColor rgb="FF666699"/>
      <rgbColor rgb="FF83AD6F"/>
      <rgbColor rgb="FF172B4D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X1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1"/>
  <cols>
    <col collapsed="false" customWidth="true" hidden="false" outlineLevel="0" max="1" min="1" style="0" width="4.38"/>
    <col collapsed="false" customWidth="true" hidden="false" outlineLevel="0" max="2" min="2" style="0" width="13.88"/>
    <col collapsed="false" customWidth="true" hidden="false" outlineLevel="0" max="3" min="3" style="0" width="0.88"/>
    <col collapsed="false" customWidth="true" hidden="false" outlineLevel="0" max="4" min="4" style="0" width="18.63"/>
    <col collapsed="false" customWidth="true" hidden="false" outlineLevel="0" max="5" min="5" style="0" width="0.75"/>
    <col collapsed="false" customWidth="true" hidden="false" outlineLevel="0" max="6" min="6" style="0" width="13.63"/>
    <col collapsed="false" customWidth="true" hidden="true" outlineLevel="1" max="7" min="7" style="0" width="5.88"/>
    <col collapsed="false" customWidth="true" hidden="false" outlineLevel="0" max="9" min="9" style="0" width="16.63"/>
    <col collapsed="false" customWidth="true" hidden="false" outlineLevel="0" max="10" min="10" style="0" width="2.88"/>
    <col collapsed="false" customWidth="true" hidden="false" outlineLevel="0" max="12" min="12" style="0" width="35.25"/>
    <col collapsed="false" customWidth="true" hidden="false" outlineLevel="1" max="16" min="14" style="0" width="5.75"/>
    <col collapsed="false" customWidth="true" hidden="false" outlineLevel="0" max="17" min="17" style="0" width="19.51"/>
    <col collapsed="false" customWidth="true" hidden="false" outlineLevel="0" max="18" min="18" style="0" width="19.88"/>
    <col collapsed="false" customWidth="true" hidden="false" outlineLevel="0" max="19" min="19" style="0" width="2.25"/>
    <col collapsed="false" customWidth="true" hidden="false" outlineLevel="0" max="20" min="20" style="0" width="3.75"/>
    <col collapsed="false" customWidth="true" hidden="false" outlineLevel="0" max="21" min="21" style="0" width="3.13"/>
    <col collapsed="false" customWidth="true" hidden="false" outlineLevel="0" max="23" min="23" style="0" width="16.75"/>
  </cols>
  <sheetData>
    <row r="1" customFormat="false" ht="30" hidden="false" customHeight="true" outlineLevel="0" collapsed="false">
      <c r="B1" s="1" t="s">
        <v>0</v>
      </c>
      <c r="C1" s="1"/>
      <c r="F1" s="2"/>
      <c r="G1" s="2"/>
      <c r="H1" s="2"/>
      <c r="K1" s="3" t="s">
        <v>1</v>
      </c>
    </row>
    <row r="2" customFormat="false" ht="4.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6"/>
      <c r="M3" s="6" t="s">
        <v>2</v>
      </c>
      <c r="N3" s="5"/>
      <c r="O3" s="5"/>
      <c r="P3" s="5"/>
      <c r="R3" s="5"/>
      <c r="S3" s="5"/>
      <c r="T3" s="5"/>
      <c r="U3" s="5"/>
      <c r="V3" s="5"/>
      <c r="W3" s="5"/>
      <c r="X3" s="5"/>
    </row>
    <row r="4" customFormat="false" ht="15" hidden="false" customHeight="true" outlineLevel="0" collapsed="false">
      <c r="A4" s="5"/>
      <c r="B4" s="6" t="s">
        <v>3</v>
      </c>
      <c r="C4" s="6"/>
      <c r="D4" s="5"/>
      <c r="E4" s="5"/>
      <c r="F4" s="7" t="s">
        <v>4</v>
      </c>
      <c r="G4" s="8"/>
      <c r="H4" s="8"/>
      <c r="I4" s="6"/>
      <c r="M4" s="9" t="s">
        <v>5</v>
      </c>
      <c r="N4" s="10"/>
      <c r="O4" s="10"/>
      <c r="P4" s="10"/>
      <c r="Q4" s="9" t="s">
        <v>6</v>
      </c>
      <c r="R4" s="9" t="s">
        <v>7</v>
      </c>
      <c r="S4" s="10"/>
      <c r="T4" s="10"/>
      <c r="U4" s="10"/>
    </row>
    <row r="5" customFormat="false" ht="15" hidden="false" customHeight="true" outlineLevel="0" collapsed="false">
      <c r="A5" s="5"/>
      <c r="B5" s="6" t="s">
        <v>8</v>
      </c>
      <c r="C5" s="6"/>
      <c r="D5" s="5"/>
      <c r="E5" s="5"/>
      <c r="F5" s="7" t="s">
        <v>9</v>
      </c>
      <c r="G5" s="8"/>
      <c r="H5" s="8"/>
      <c r="I5" s="6"/>
      <c r="M5" s="11" t="s">
        <v>10</v>
      </c>
      <c r="N5" s="12"/>
      <c r="O5" s="12"/>
      <c r="P5" s="12"/>
      <c r="Q5" s="11" t="s">
        <v>11</v>
      </c>
      <c r="R5" s="11" t="s">
        <v>12</v>
      </c>
      <c r="S5" s="12"/>
      <c r="T5" s="12"/>
      <c r="U5" s="12"/>
    </row>
    <row r="6" customFormat="false" ht="15" hidden="false" customHeight="true" outlineLevel="0" collapsed="false">
      <c r="A6" s="5"/>
      <c r="B6" s="13" t="s">
        <v>13</v>
      </c>
      <c r="C6" s="13"/>
      <c r="D6" s="14"/>
      <c r="E6" s="14"/>
      <c r="F6" s="15" t="str">
        <f aca="false">IFERROR(IF(MIN(Parameters!$J$25:$L$25)&lt;0,"Underperformer",IF(MIN(Parameters!$J$25:$L$25)&gt;=1,"A-player","Above the Bar")),"TBC")</f>
        <v>Above the Bar</v>
      </c>
      <c r="G6" s="8"/>
      <c r="H6" s="8"/>
      <c r="I6" s="6"/>
      <c r="M6" s="11" t="s">
        <v>14</v>
      </c>
      <c r="N6" s="12"/>
      <c r="O6" s="12"/>
      <c r="P6" s="12"/>
      <c r="Q6" s="11" t="s">
        <v>11</v>
      </c>
      <c r="R6" s="11" t="s">
        <v>12</v>
      </c>
      <c r="S6" s="12"/>
      <c r="T6" s="12"/>
      <c r="U6" s="12"/>
    </row>
    <row r="7" customFormat="false" ht="15" hidden="false" customHeight="true" outlineLevel="0" collapsed="false">
      <c r="A7" s="5"/>
      <c r="B7" s="6" t="s">
        <v>15</v>
      </c>
      <c r="C7" s="6"/>
      <c r="D7" s="5"/>
      <c r="E7" s="5"/>
      <c r="F7" s="16" t="str">
        <f aca="false">IFERROR(IF($G$15&lt;0,"Underperformer",IF($G$15&gt;=2,"A-player","Above the Bar")),"TBC")</f>
        <v>Above the Bar</v>
      </c>
      <c r="G7" s="8"/>
      <c r="H7" s="8"/>
      <c r="I7" s="6"/>
      <c r="M7" s="11" t="s">
        <v>16</v>
      </c>
      <c r="N7" s="12"/>
      <c r="O7" s="12"/>
      <c r="P7" s="12"/>
      <c r="Q7" s="11" t="s">
        <v>17</v>
      </c>
      <c r="R7" s="11" t="s">
        <v>18</v>
      </c>
      <c r="S7" s="12"/>
      <c r="T7" s="12"/>
      <c r="U7" s="12"/>
    </row>
    <row r="8" customFormat="false" ht="15" hidden="false" customHeight="true" outlineLevel="0" collapsed="false">
      <c r="A8" s="5"/>
      <c r="B8" s="6" t="s">
        <v>19</v>
      </c>
      <c r="C8" s="6"/>
      <c r="D8" s="5"/>
      <c r="E8" s="5"/>
      <c r="F8" s="16" t="str">
        <f aca="false">IFERROR(IF(MIN(Parameters!$N$25:$P$25)&lt;0,"Underperformer",IF(MIN(Parameters!$N$25:$P$25)&gt;=1,"A-player","Above the Bar")),"TBC")</f>
        <v>A-player</v>
      </c>
      <c r="G8" s="8"/>
      <c r="H8" s="8"/>
      <c r="I8" s="6"/>
      <c r="M8" s="12"/>
      <c r="N8" s="12"/>
      <c r="O8" s="12"/>
      <c r="P8" s="12"/>
      <c r="Q8" s="12"/>
      <c r="R8" s="12"/>
      <c r="S8" s="12"/>
      <c r="T8" s="12"/>
      <c r="U8" s="12"/>
      <c r="V8" s="5"/>
      <c r="W8" s="5"/>
      <c r="X8" s="5"/>
    </row>
    <row r="9" customFormat="false" ht="15" hidden="false" customHeight="true" outlineLevel="0" collapsed="false">
      <c r="A9" s="5"/>
      <c r="B9" s="17" t="s">
        <v>20</v>
      </c>
      <c r="C9" s="18"/>
      <c r="D9" s="19"/>
      <c r="E9" s="19"/>
      <c r="F9" s="20" t="str">
        <f aca="false">IFERROR(IF(COUNTIFS($F$6:$F$8,"Underperformer")&gt;0,"Underperformer",IF(COUNTIFS($F$6:$F$8,"A-player")&gt;1,"A-player","Above The Bar")),"TBC")</f>
        <v>Above The Bar</v>
      </c>
      <c r="G9" s="8"/>
      <c r="H9" s="8"/>
      <c r="I9" s="6"/>
      <c r="M9" s="12"/>
      <c r="N9" s="12"/>
      <c r="O9" s="12"/>
      <c r="P9" s="12"/>
      <c r="Q9" s="12"/>
      <c r="R9" s="12"/>
      <c r="S9" s="12"/>
      <c r="T9" s="12"/>
      <c r="U9" s="12"/>
      <c r="V9" s="5"/>
      <c r="W9" s="5"/>
      <c r="X9" s="5"/>
    </row>
    <row r="10" customFormat="false" ht="15" hidden="false" customHeight="true" outlineLevel="0" collapsed="false">
      <c r="A10" s="5"/>
      <c r="B10" s="6"/>
      <c r="C10" s="6"/>
      <c r="D10" s="5"/>
      <c r="E10" s="5"/>
      <c r="F10" s="5"/>
      <c r="G10" s="8"/>
      <c r="H10" s="8"/>
      <c r="I10" s="6"/>
      <c r="M10" s="6" t="s">
        <v>21</v>
      </c>
      <c r="N10" s="5"/>
      <c r="O10" s="5"/>
      <c r="P10" s="5"/>
      <c r="Q10" s="5"/>
      <c r="R10" s="6"/>
      <c r="S10" s="5"/>
      <c r="T10" s="5"/>
      <c r="U10" s="5"/>
      <c r="V10" s="5"/>
      <c r="W10" s="5"/>
      <c r="X10" s="5"/>
    </row>
    <row r="11" customFormat="false" ht="15" hidden="false" customHeight="true" outlineLevel="0" collapsed="false">
      <c r="A11" s="5"/>
      <c r="B11" s="6"/>
      <c r="C11" s="6"/>
      <c r="D11" s="5"/>
      <c r="E11" s="5"/>
      <c r="F11" s="21" t="s">
        <v>22</v>
      </c>
      <c r="G11" s="22" t="s">
        <v>23</v>
      </c>
      <c r="H11" s="22" t="s">
        <v>24</v>
      </c>
      <c r="I11" s="6"/>
      <c r="M11" s="9" t="s">
        <v>25</v>
      </c>
      <c r="N11" s="10"/>
      <c r="O11" s="10"/>
      <c r="P11" s="10"/>
      <c r="Q11" s="9"/>
      <c r="R11" s="9"/>
      <c r="S11" s="10"/>
      <c r="T11" s="10"/>
      <c r="U11" s="10"/>
      <c r="V11" s="5"/>
      <c r="W11" s="5"/>
      <c r="X11" s="5"/>
    </row>
    <row r="12" customFormat="false" ht="15" hidden="false" customHeight="true" outlineLevel="0" collapsed="false">
      <c r="A12" s="5"/>
      <c r="B12" s="23" t="s">
        <v>26</v>
      </c>
      <c r="C12" s="24"/>
      <c r="D12" s="25" t="s">
        <v>27</v>
      </c>
      <c r="E12" s="26"/>
      <c r="F12" s="27" t="str">
        <f aca="false">W38</f>
        <v>Intermediate</v>
      </c>
      <c r="G12" s="8" t="n">
        <f aca="false" t="array" ref="G12:G12">INDEX(Parameters!$D$5:$D$9,MATCH(F12,Parameters!$B$5:$B$9,0))-INDEX(Parameters!$D$5:$D$9,MATCH(H12,Parameters!$B$5:$B$9,0))</f>
        <v>1</v>
      </c>
      <c r="H12" s="28" t="str">
        <f aca="false" t="array" ref="H12:H12">IFERROR(INDEX(Parameters!$C$17:$I$20,MATCH($F$5,Parameters!$B$17:$B$20,0),MATCH(D12,Parameters!$C$16:$I$16,0)),"TBC")</f>
        <v>Basic</v>
      </c>
      <c r="I12" s="6"/>
      <c r="M12" s="29" t="s">
        <v>28</v>
      </c>
      <c r="N12" s="12"/>
      <c r="O12" s="12"/>
      <c r="P12" s="12"/>
      <c r="Q12" s="11"/>
      <c r="R12" s="11"/>
      <c r="S12" s="12"/>
      <c r="T12" s="12"/>
      <c r="U12" s="12"/>
      <c r="V12" s="5"/>
      <c r="W12" s="5"/>
      <c r="X12" s="5"/>
    </row>
    <row r="13" customFormat="false" ht="15" hidden="false" customHeight="true" outlineLevel="0" collapsed="false">
      <c r="A13" s="5"/>
      <c r="B13" s="23"/>
      <c r="C13" s="24"/>
      <c r="D13" s="25" t="s">
        <v>29</v>
      </c>
      <c r="E13" s="26"/>
      <c r="F13" s="27" t="str">
        <f aca="false">W59</f>
        <v>Basic</v>
      </c>
      <c r="G13" s="8" t="n">
        <f aca="false" t="array" ref="G13:G13">INDEX(Parameters!$D$5:$D$9,MATCH(F13,Parameters!$B$5:$B$9,0))-INDEX(Parameters!$D$5:$D$9,MATCH(H13,Parameters!$B$5:$B$9,0))</f>
        <v>0</v>
      </c>
      <c r="H13" s="28" t="str">
        <f aca="false" t="array" ref="H13:H13">IFERROR(INDEX(Parameters!$C$17:$I$20,MATCH($F$5,Parameters!$B$17:$B$20,0),MATCH(D13,Parameters!$C$16:$I$16,0)),"TBC")</f>
        <v>Basic</v>
      </c>
      <c r="I13" s="6"/>
      <c r="M13" s="29" t="s">
        <v>30</v>
      </c>
      <c r="N13" s="12"/>
      <c r="O13" s="12"/>
      <c r="P13" s="12"/>
      <c r="Q13" s="11"/>
      <c r="R13" s="11"/>
      <c r="S13" s="12"/>
      <c r="T13" s="12"/>
      <c r="U13" s="12"/>
      <c r="V13" s="5"/>
      <c r="W13" s="5"/>
      <c r="X13" s="5"/>
    </row>
    <row r="14" customFormat="false" ht="15" hidden="false" customHeight="true" outlineLevel="0" collapsed="false">
      <c r="A14" s="5"/>
      <c r="B14" s="23"/>
      <c r="C14" s="24"/>
      <c r="D14" s="25" t="s">
        <v>31</v>
      </c>
      <c r="E14" s="26"/>
      <c r="F14" s="27" t="str">
        <f aca="false">W70</f>
        <v>Intermediate</v>
      </c>
      <c r="G14" s="8" t="n">
        <f aca="false" t="array" ref="G14:G14">INDEX(Parameters!$D$5:$D$9,MATCH(F14,Parameters!$B$5:$B$9,0))-INDEX(Parameters!$D$5:$D$9,MATCH(H14,Parameters!$B$5:$B$9,0))</f>
        <v>1</v>
      </c>
      <c r="H14" s="28" t="str">
        <f aca="false" t="array" ref="H14:H14">IFERROR(INDEX(Parameters!$C$17:$I$20,MATCH($F$5,Parameters!$B$17:$B$20,0),MATCH(D14,Parameters!$C$16:$I$16,0)),"TBC")</f>
        <v>Basic</v>
      </c>
      <c r="I14" s="6"/>
      <c r="M14" s="29" t="s">
        <v>32</v>
      </c>
      <c r="N14" s="12"/>
      <c r="O14" s="12"/>
      <c r="P14" s="12"/>
      <c r="Q14" s="11"/>
      <c r="R14" s="11"/>
      <c r="S14" s="12"/>
      <c r="T14" s="12"/>
      <c r="U14" s="12"/>
      <c r="V14" s="5"/>
      <c r="W14" s="5"/>
      <c r="X14" s="5"/>
    </row>
    <row r="15" customFormat="false" ht="15" hidden="false" customHeight="true" outlineLevel="0" collapsed="false">
      <c r="A15" s="5"/>
      <c r="B15" s="30" t="s">
        <v>33</v>
      </c>
      <c r="C15" s="13"/>
      <c r="D15" s="13"/>
      <c r="E15" s="13"/>
      <c r="F15" s="31" t="str">
        <f aca="false">W89</f>
        <v>Advanced</v>
      </c>
      <c r="G15" s="32" t="n">
        <f aca="false" t="array" ref="G15:G15">INDEX(Parameters!$D$5:$D$9,MATCH(F15,Parameters!$B$5:$B$9,0))-INDEX(Parameters!$D$5:$D$9,MATCH(H15,Parameters!$B$5:$B$9,0))</f>
        <v>1</v>
      </c>
      <c r="H15" s="33" t="str">
        <f aca="false" t="array" ref="H15:H15">IFERROR(INDEX(Parameters!$C$17:$I$20,MATCH($F$5,Parameters!$B$17:$B$20,0),MATCH("Deliverables",Parameters!$C$16:$I$16,0)),"TBC")</f>
        <v>Intermediate</v>
      </c>
      <c r="I15" s="5"/>
      <c r="M15" s="34" t="s">
        <v>34</v>
      </c>
      <c r="N15" s="10"/>
      <c r="O15" s="10"/>
      <c r="P15" s="10"/>
      <c r="Q15" s="9"/>
      <c r="R15" s="9"/>
      <c r="S15" s="10"/>
      <c r="T15" s="10"/>
      <c r="U15" s="10"/>
      <c r="V15" s="5"/>
      <c r="W15" s="5"/>
      <c r="X15" s="5"/>
    </row>
    <row r="16" customFormat="false" ht="15" hidden="false" customHeight="true" outlineLevel="0" collapsed="false">
      <c r="A16" s="5"/>
      <c r="B16" s="35" t="s">
        <v>35</v>
      </c>
      <c r="C16" s="36"/>
      <c r="D16" s="37" t="s">
        <v>36</v>
      </c>
      <c r="E16" s="38"/>
      <c r="F16" s="31" t="str">
        <f aca="false">W99</f>
        <v>Advanced</v>
      </c>
      <c r="G16" s="32" t="n">
        <f aca="false" t="array" ref="G16:G16">INDEX(Parameters!$D$5:$D$9,MATCH(F16,Parameters!$B$5:$B$9,0))-INDEX(Parameters!$D$5:$D$9,MATCH(H16,Parameters!$B$5:$B$9,0))</f>
        <v>1</v>
      </c>
      <c r="H16" s="33" t="str">
        <f aca="false" t="array" ref="H16:H16">IFERROR(INDEX(Parameters!$C$17:$I$20,MATCH($F$5,Parameters!$B$17:$B$20,0),MATCH(D16,Parameters!$C$16:$I$16,0)),"TBC")</f>
        <v>Intermediate</v>
      </c>
      <c r="I16" s="5"/>
      <c r="M16" s="29" t="s">
        <v>37</v>
      </c>
      <c r="N16" s="12"/>
      <c r="O16" s="12"/>
      <c r="P16" s="12"/>
      <c r="Q16" s="11"/>
      <c r="R16" s="11"/>
      <c r="S16" s="12"/>
      <c r="T16" s="12"/>
      <c r="U16" s="12"/>
      <c r="V16" s="5"/>
      <c r="W16" s="5"/>
      <c r="X16" s="5"/>
    </row>
    <row r="17" customFormat="false" ht="15" hidden="false" customHeight="true" outlineLevel="0" collapsed="false">
      <c r="A17" s="5"/>
      <c r="B17" s="35"/>
      <c r="C17" s="24"/>
      <c r="D17" s="25" t="s">
        <v>38</v>
      </c>
      <c r="E17" s="26"/>
      <c r="F17" s="27" t="str">
        <f aca="false">W112</f>
        <v>Intermediate</v>
      </c>
      <c r="G17" s="8" t="n">
        <f aca="false" t="array" ref="G17:G17">INDEX(Parameters!$D$5:$D$9,MATCH(F17,Parameters!$B$5:$B$9,0))-INDEX(Parameters!$D$5:$D$9,MATCH(H17,Parameters!$B$5:$B$9,0))</f>
        <v>1</v>
      </c>
      <c r="H17" s="28" t="str">
        <f aca="false" t="array" ref="H17:H17">IFERROR(INDEX(Parameters!$C$17:$I$20,MATCH($F$5,Parameters!$B$17:$B$20,0),MATCH(D17,Parameters!$C$16:$I$16,0)),"TBC")</f>
        <v>Basic</v>
      </c>
      <c r="I17" s="5"/>
      <c r="M17" s="29" t="s">
        <v>39</v>
      </c>
      <c r="N17" s="12"/>
      <c r="O17" s="12"/>
      <c r="P17" s="12"/>
      <c r="Q17" s="11"/>
      <c r="R17" s="11"/>
      <c r="S17" s="12"/>
      <c r="T17" s="12"/>
      <c r="U17" s="12"/>
      <c r="V17" s="5"/>
      <c r="W17" s="5"/>
      <c r="X17" s="5"/>
    </row>
    <row r="18" customFormat="false" ht="15" hidden="false" customHeight="true" outlineLevel="0" collapsed="false">
      <c r="A18" s="5"/>
      <c r="B18" s="35"/>
      <c r="C18" s="24"/>
      <c r="D18" s="25" t="s">
        <v>40</v>
      </c>
      <c r="E18" s="26"/>
      <c r="F18" s="27" t="str">
        <f aca="false">W134</f>
        <v>Intermediate</v>
      </c>
      <c r="G18" s="8" t="n">
        <f aca="false" t="array" ref="G18:G18">INDEX(Parameters!$D$5:$D$9,MATCH(F18,Parameters!$B$5:$B$9,0))-INDEX(Parameters!$D$5:$D$9,MATCH(H18,Parameters!$B$5:$B$9,0))</f>
        <v>1</v>
      </c>
      <c r="H18" s="28" t="str">
        <f aca="false" t="array" ref="H18:H18">IFERROR(INDEX(Parameters!$C$17:$I$20,MATCH($F$5,Parameters!$B$17:$B$20,0),MATCH(D18,Parameters!$C$16:$I$16,0)),"TBC")</f>
        <v>Basic</v>
      </c>
      <c r="I18" s="5"/>
      <c r="M18" s="29" t="s">
        <v>41</v>
      </c>
      <c r="N18" s="12"/>
      <c r="O18" s="12"/>
      <c r="P18" s="12"/>
      <c r="Q18" s="11"/>
      <c r="R18" s="11"/>
      <c r="S18" s="12"/>
      <c r="T18" s="12"/>
      <c r="U18" s="12"/>
      <c r="V18" s="5"/>
      <c r="W18" s="5"/>
      <c r="X18" s="5"/>
    </row>
    <row r="19" customFormat="false" ht="15.7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Format="false" ht="15.75" hidden="false" customHeight="false" outlineLevel="0" collapsed="false">
      <c r="A20" s="11"/>
      <c r="B20" s="11"/>
      <c r="C20" s="11"/>
      <c r="D20" s="11"/>
      <c r="E20" s="11"/>
      <c r="F20" s="39" t="s">
        <v>42</v>
      </c>
      <c r="G20" s="39"/>
      <c r="H20" s="39" t="s">
        <v>43</v>
      </c>
      <c r="I20" s="40"/>
      <c r="J20" s="40"/>
      <c r="K20" s="40"/>
      <c r="L20" s="40"/>
      <c r="M20" s="39" t="s">
        <v>44</v>
      </c>
      <c r="N20" s="39" t="s">
        <v>45</v>
      </c>
      <c r="O20" s="39" t="s">
        <v>46</v>
      </c>
      <c r="P20" s="39" t="s">
        <v>47</v>
      </c>
      <c r="Q20" s="39" t="s">
        <v>48</v>
      </c>
      <c r="R20" s="11"/>
      <c r="S20" s="11"/>
      <c r="T20" s="11"/>
      <c r="U20" s="11"/>
      <c r="V20" s="11"/>
      <c r="W20" s="11"/>
      <c r="X20" s="11"/>
    </row>
    <row r="21" customFormat="false" ht="3" hidden="false" customHeight="true" outlineLevel="0" collapsed="false">
      <c r="A21" s="5"/>
      <c r="B21" s="6"/>
      <c r="C21" s="6"/>
      <c r="D21" s="6"/>
      <c r="E21" s="6"/>
      <c r="F21" s="6"/>
      <c r="G21" s="26"/>
      <c r="H21" s="2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customFormat="false" ht="15.75" hidden="false" customHeight="true" outlineLevel="0" collapsed="false">
      <c r="A22" s="5"/>
      <c r="B22" s="41" t="s">
        <v>49</v>
      </c>
      <c r="C22" s="42"/>
      <c r="D22" s="43" t="s">
        <v>27</v>
      </c>
      <c r="E22" s="44"/>
      <c r="F22" s="45" t="s">
        <v>50</v>
      </c>
      <c r="G22" s="46"/>
      <c r="H22" s="46" t="s">
        <v>51</v>
      </c>
      <c r="I22" s="46"/>
      <c r="J22" s="46"/>
      <c r="K22" s="46"/>
      <c r="L22" s="47"/>
      <c r="M22" s="14" t="s">
        <v>52</v>
      </c>
      <c r="N22" s="48" t="n">
        <f aca="false">1/COUNTA(H22:H25)</f>
        <v>0.25</v>
      </c>
      <c r="O22" s="48" t="n">
        <f aca="false">IF(M22="No",1,0)</f>
        <v>1</v>
      </c>
      <c r="P22" s="48" t="n">
        <f aca="false">O22*N22</f>
        <v>0.25</v>
      </c>
      <c r="Q22" s="14"/>
      <c r="R22" s="14"/>
      <c r="S22" s="14"/>
      <c r="T22" s="14"/>
      <c r="U22" s="5"/>
      <c r="V22" s="5"/>
      <c r="W22" s="5"/>
      <c r="X22" s="5"/>
    </row>
    <row r="23" customFormat="false" ht="15.75" hidden="false" customHeight="false" outlineLevel="0" collapsed="false">
      <c r="A23" s="5"/>
      <c r="B23" s="41"/>
      <c r="C23" s="42"/>
      <c r="D23" s="43"/>
      <c r="E23" s="44"/>
      <c r="F23" s="49" t="s">
        <v>50</v>
      </c>
      <c r="G23" s="50"/>
      <c r="H23" s="50" t="s">
        <v>53</v>
      </c>
      <c r="I23" s="50"/>
      <c r="J23" s="50"/>
      <c r="K23" s="50"/>
      <c r="L23" s="51"/>
      <c r="M23" s="5" t="s">
        <v>52</v>
      </c>
      <c r="N23" s="52" t="n">
        <f aca="false">N22</f>
        <v>0.25</v>
      </c>
      <c r="O23" s="52" t="n">
        <f aca="false">IF(M23="No",1,0)</f>
        <v>1</v>
      </c>
      <c r="P23" s="52" t="n">
        <f aca="false">O23*N23</f>
        <v>0.25</v>
      </c>
      <c r="Q23" s="5"/>
      <c r="R23" s="5"/>
      <c r="S23" s="5"/>
      <c r="T23" s="5"/>
      <c r="U23" s="5"/>
      <c r="V23" s="5"/>
      <c r="W23" s="5"/>
      <c r="X23" s="5"/>
    </row>
    <row r="24" customFormat="false" ht="15.75" hidden="false" customHeight="false" outlineLevel="0" collapsed="false">
      <c r="A24" s="5"/>
      <c r="B24" s="41"/>
      <c r="C24" s="42"/>
      <c r="D24" s="43"/>
      <c r="E24" s="44"/>
      <c r="F24" s="49" t="s">
        <v>50</v>
      </c>
      <c r="G24" s="50"/>
      <c r="H24" s="50" t="s">
        <v>54</v>
      </c>
      <c r="I24" s="50"/>
      <c r="J24" s="50"/>
      <c r="K24" s="50"/>
      <c r="L24" s="53"/>
      <c r="M24" s="5" t="s">
        <v>52</v>
      </c>
      <c r="N24" s="52" t="n">
        <f aca="false">N23</f>
        <v>0.25</v>
      </c>
      <c r="O24" s="52" t="n">
        <f aca="false">IF(M24="No",1,0)</f>
        <v>1</v>
      </c>
      <c r="P24" s="52" t="n">
        <f aca="false">O24*N24</f>
        <v>0.25</v>
      </c>
      <c r="Q24" s="5"/>
      <c r="R24" s="5"/>
      <c r="S24" s="5"/>
      <c r="T24" s="5"/>
      <c r="U24" s="5"/>
      <c r="V24" s="5"/>
      <c r="W24" s="5"/>
      <c r="X24" s="5"/>
    </row>
    <row r="25" customFormat="false" ht="15.75" hidden="false" customHeight="false" outlineLevel="0" collapsed="false">
      <c r="A25" s="5"/>
      <c r="B25" s="41"/>
      <c r="C25" s="42"/>
      <c r="D25" s="43"/>
      <c r="E25" s="44"/>
      <c r="F25" s="54" t="s">
        <v>50</v>
      </c>
      <c r="G25" s="55"/>
      <c r="H25" s="55" t="s">
        <v>55</v>
      </c>
      <c r="I25" s="55"/>
      <c r="J25" s="55"/>
      <c r="K25" s="55"/>
      <c r="L25" s="56"/>
      <c r="M25" s="57" t="s">
        <v>52</v>
      </c>
      <c r="N25" s="58" t="n">
        <f aca="false">N24</f>
        <v>0.25</v>
      </c>
      <c r="O25" s="58" t="n">
        <f aca="false">IF(M25="No",1,0)</f>
        <v>1</v>
      </c>
      <c r="P25" s="58" t="n">
        <f aca="false">O25*N25</f>
        <v>0.25</v>
      </c>
      <c r="Q25" s="57"/>
      <c r="R25" s="57"/>
      <c r="S25" s="57"/>
      <c r="T25" s="57"/>
      <c r="U25" s="5"/>
      <c r="V25" s="5"/>
      <c r="W25" s="5"/>
      <c r="X25" s="5"/>
    </row>
    <row r="26" customFormat="false" ht="15.75" hidden="false" customHeight="false" outlineLevel="0" collapsed="false">
      <c r="A26" s="5"/>
      <c r="B26" s="41"/>
      <c r="C26" s="42"/>
      <c r="D26" s="43"/>
      <c r="E26" s="44"/>
      <c r="F26" s="59" t="s">
        <v>56</v>
      </c>
      <c r="G26" s="60"/>
      <c r="H26" s="60" t="s">
        <v>57</v>
      </c>
      <c r="I26" s="60"/>
      <c r="J26" s="60"/>
      <c r="K26" s="60"/>
      <c r="L26" s="61"/>
      <c r="M26" s="5" t="s">
        <v>58</v>
      </c>
      <c r="N26" s="62" t="n">
        <f aca="false">1/COUNTA($H$26:$H$28)</f>
        <v>0.333333333333333</v>
      </c>
      <c r="O26" s="62" t="n">
        <f aca="false">IF(M26="Yes",1,0)</f>
        <v>1</v>
      </c>
      <c r="P26" s="62" t="n">
        <f aca="false">IF(SUMIFS($P$22:$P25,$F$22:$F25,"POOR")=1,O26*N26,0)</f>
        <v>0.333333333333333</v>
      </c>
      <c r="Q26" s="5"/>
      <c r="R26" s="5"/>
      <c r="S26" s="5"/>
      <c r="T26" s="5"/>
      <c r="U26" s="5"/>
      <c r="V26" s="5"/>
      <c r="W26" s="5"/>
      <c r="X26" s="5"/>
    </row>
    <row r="27" customFormat="false" ht="15.75" hidden="false" customHeight="false" outlineLevel="0" collapsed="false">
      <c r="A27" s="5"/>
      <c r="B27" s="41"/>
      <c r="C27" s="42"/>
      <c r="D27" s="43"/>
      <c r="E27" s="44"/>
      <c r="F27" s="63" t="s">
        <v>56</v>
      </c>
      <c r="G27" s="60"/>
      <c r="H27" s="60" t="s">
        <v>59</v>
      </c>
      <c r="I27" s="60"/>
      <c r="J27" s="60"/>
      <c r="K27" s="60"/>
      <c r="L27" s="61"/>
      <c r="M27" s="5" t="s">
        <v>58</v>
      </c>
      <c r="N27" s="62" t="n">
        <f aca="false">1/COUNTA($H$26:$H$28)</f>
        <v>0.333333333333333</v>
      </c>
      <c r="O27" s="62" t="n">
        <f aca="false">IF(M27="Yes",1,0)</f>
        <v>1</v>
      </c>
      <c r="P27" s="62" t="n">
        <f aca="false">IF(SUMIFS($P$22:$P26,$F$22:$F26,"POOR")=1,O27*N27,0)</f>
        <v>0.333333333333333</v>
      </c>
      <c r="Q27" s="5"/>
      <c r="R27" s="5"/>
      <c r="S27" s="5"/>
      <c r="T27" s="5"/>
      <c r="U27" s="5"/>
      <c r="V27" s="5"/>
      <c r="W27" s="5"/>
      <c r="X27" s="5"/>
    </row>
    <row r="28" customFormat="false" ht="15.75" hidden="false" customHeight="false" outlineLevel="0" collapsed="false">
      <c r="A28" s="5"/>
      <c r="B28" s="41"/>
      <c r="C28" s="42"/>
      <c r="D28" s="43"/>
      <c r="E28" s="44"/>
      <c r="F28" s="64" t="s">
        <v>56</v>
      </c>
      <c r="G28" s="65"/>
      <c r="H28" s="65" t="s">
        <v>60</v>
      </c>
      <c r="I28" s="65"/>
      <c r="J28" s="65"/>
      <c r="K28" s="65"/>
      <c r="L28" s="66"/>
      <c r="M28" s="57" t="s">
        <v>58</v>
      </c>
      <c r="N28" s="67" t="n">
        <f aca="false">1/COUNTA($H$26:$H$28)</f>
        <v>0.333333333333333</v>
      </c>
      <c r="O28" s="67" t="n">
        <f aca="false">IF(M28="Yes",1,0)</f>
        <v>1</v>
      </c>
      <c r="P28" s="67" t="n">
        <f aca="false">IF(SUMIFS($P$22:$P27,$F$22:$F27,"POOR")=1,O28*N28,0)</f>
        <v>0.333333333333333</v>
      </c>
      <c r="Q28" s="57"/>
      <c r="R28" s="57"/>
      <c r="S28" s="57"/>
      <c r="T28" s="57"/>
      <c r="U28" s="5"/>
      <c r="V28" s="5"/>
      <c r="W28" s="5"/>
      <c r="X28" s="5"/>
    </row>
    <row r="29" customFormat="false" ht="15.75" hidden="false" customHeight="false" outlineLevel="0" collapsed="false">
      <c r="A29" s="5"/>
      <c r="B29" s="41"/>
      <c r="C29" s="42"/>
      <c r="D29" s="43"/>
      <c r="E29" s="44"/>
      <c r="F29" s="68" t="s">
        <v>61</v>
      </c>
      <c r="G29" s="69"/>
      <c r="H29" s="69" t="s">
        <v>62</v>
      </c>
      <c r="I29" s="69"/>
      <c r="J29" s="69"/>
      <c r="K29" s="69"/>
      <c r="L29" s="70"/>
      <c r="M29" s="5" t="s">
        <v>58</v>
      </c>
      <c r="N29" s="71" t="n">
        <f aca="false">1/COUNTA($H$29:$H$31)</f>
        <v>0.333333333333333</v>
      </c>
      <c r="O29" s="71" t="n">
        <f aca="false">IF(M29="Yes",1,0)</f>
        <v>1</v>
      </c>
      <c r="P29" s="71" t="n">
        <f aca="false">IF(SUMIFS($P$22:$P28,$F$22:$F28,"BASIC")=1,O29*N29,0)</f>
        <v>0.333333333333333</v>
      </c>
      <c r="Q29" s="5"/>
      <c r="R29" s="5"/>
      <c r="S29" s="5"/>
      <c r="T29" s="5"/>
      <c r="U29" s="5"/>
      <c r="V29" s="5"/>
      <c r="W29" s="5"/>
      <c r="X29" s="5"/>
    </row>
    <row r="30" customFormat="false" ht="15.75" hidden="false" customHeight="false" outlineLevel="0" collapsed="false">
      <c r="A30" s="5"/>
      <c r="B30" s="41"/>
      <c r="C30" s="42"/>
      <c r="D30" s="43"/>
      <c r="E30" s="44"/>
      <c r="F30" s="72" t="s">
        <v>61</v>
      </c>
      <c r="G30" s="69"/>
      <c r="H30" s="69" t="s">
        <v>63</v>
      </c>
      <c r="I30" s="69"/>
      <c r="J30" s="69"/>
      <c r="K30" s="69"/>
      <c r="L30" s="70"/>
      <c r="M30" s="5" t="s">
        <v>58</v>
      </c>
      <c r="N30" s="71" t="n">
        <f aca="false">N29</f>
        <v>0.333333333333333</v>
      </c>
      <c r="O30" s="71" t="n">
        <f aca="false">IF(M30="Yes",1,0)</f>
        <v>1</v>
      </c>
      <c r="P30" s="71" t="n">
        <f aca="false">IF(SUMIFS($P$22:$P29,$F$22:$F29,"BASIC")=1,O30*N30,0)</f>
        <v>0.333333333333333</v>
      </c>
      <c r="Q30" s="26" t="s">
        <v>64</v>
      </c>
      <c r="R30" s="5"/>
      <c r="S30" s="5"/>
      <c r="T30" s="5"/>
      <c r="U30" s="5"/>
      <c r="V30" s="5"/>
      <c r="W30" s="5"/>
      <c r="X30" s="5"/>
    </row>
    <row r="31" customFormat="false" ht="15.75" hidden="false" customHeight="false" outlineLevel="0" collapsed="false">
      <c r="A31" s="5"/>
      <c r="B31" s="41"/>
      <c r="C31" s="42"/>
      <c r="D31" s="43"/>
      <c r="E31" s="44"/>
      <c r="F31" s="73" t="s">
        <v>61</v>
      </c>
      <c r="G31" s="74"/>
      <c r="H31" s="74" t="s">
        <v>65</v>
      </c>
      <c r="I31" s="74"/>
      <c r="J31" s="74"/>
      <c r="K31" s="74"/>
      <c r="L31" s="75"/>
      <c r="M31" s="57" t="s">
        <v>58</v>
      </c>
      <c r="N31" s="76" t="n">
        <f aca="false">N30</f>
        <v>0.333333333333333</v>
      </c>
      <c r="O31" s="76" t="n">
        <f aca="false">IF(M31="Yes",1,0)</f>
        <v>1</v>
      </c>
      <c r="P31" s="76" t="n">
        <f aca="false">IF(SUMIFS($P$22:$P30,$F$22:$F30,"BASIC")=1,O31*N31,0)</f>
        <v>0.333333333333333</v>
      </c>
      <c r="Q31" s="77" t="s">
        <v>66</v>
      </c>
      <c r="R31" s="57"/>
      <c r="S31" s="57"/>
      <c r="T31" s="57"/>
      <c r="U31" s="5"/>
      <c r="V31" s="5"/>
      <c r="W31" s="5"/>
      <c r="X31" s="5"/>
    </row>
    <row r="32" customFormat="false" ht="15.75" hidden="false" customHeight="false" outlineLevel="0" collapsed="false">
      <c r="A32" s="5"/>
      <c r="B32" s="41"/>
      <c r="C32" s="42"/>
      <c r="D32" s="43"/>
      <c r="E32" s="44"/>
      <c r="F32" s="78" t="s">
        <v>67</v>
      </c>
      <c r="G32" s="79"/>
      <c r="H32" s="79" t="s">
        <v>68</v>
      </c>
      <c r="I32" s="79"/>
      <c r="J32" s="79"/>
      <c r="K32" s="79"/>
      <c r="L32" s="80"/>
      <c r="M32" s="5" t="s">
        <v>52</v>
      </c>
      <c r="N32" s="81" t="n">
        <f aca="false">1/COUNTA(H32:H35)</f>
        <v>0.25</v>
      </c>
      <c r="O32" s="81" t="n">
        <f aca="false">IF(M32="Yes",1,0)</f>
        <v>0</v>
      </c>
      <c r="P32" s="81" t="n">
        <f aca="false">IF(SUMIFS($P$22:$P31,$F$22:$F31,"INTERMEDIATE")=1,O32*N32,0)</f>
        <v>0</v>
      </c>
      <c r="Q32" s="5"/>
      <c r="R32" s="5"/>
      <c r="S32" s="5"/>
      <c r="T32" s="5"/>
      <c r="U32" s="5"/>
      <c r="V32" s="5"/>
      <c r="W32" s="5"/>
      <c r="X32" s="5"/>
    </row>
    <row r="33" customFormat="false" ht="15.75" hidden="false" customHeight="false" outlineLevel="0" collapsed="false">
      <c r="A33" s="5"/>
      <c r="B33" s="41"/>
      <c r="C33" s="42"/>
      <c r="D33" s="43"/>
      <c r="E33" s="44"/>
      <c r="F33" s="82" t="s">
        <v>67</v>
      </c>
      <c r="G33" s="79"/>
      <c r="H33" s="79" t="s">
        <v>69</v>
      </c>
      <c r="I33" s="79"/>
      <c r="J33" s="79"/>
      <c r="K33" s="79"/>
      <c r="L33" s="80"/>
      <c r="M33" s="5" t="s">
        <v>52</v>
      </c>
      <c r="N33" s="81" t="n">
        <f aca="false">N32</f>
        <v>0.25</v>
      </c>
      <c r="O33" s="81" t="n">
        <f aca="false">IF(M33="Yes",1,0)</f>
        <v>0</v>
      </c>
      <c r="P33" s="81" t="n">
        <f aca="false">IF(SUMIFS($P$22:$P32,$F$22:$F32,"INTERMEDIATE")=1,O33*N33,0)</f>
        <v>0</v>
      </c>
      <c r="Q33" s="5"/>
      <c r="R33" s="5"/>
      <c r="S33" s="5"/>
      <c r="T33" s="5"/>
      <c r="U33" s="5"/>
      <c r="V33" s="5"/>
      <c r="W33" s="5"/>
      <c r="X33" s="5"/>
    </row>
    <row r="34" customFormat="false" ht="15.75" hidden="false" customHeight="false" outlineLevel="0" collapsed="false">
      <c r="A34" s="5"/>
      <c r="B34" s="41"/>
      <c r="C34" s="42"/>
      <c r="D34" s="43"/>
      <c r="E34" s="44"/>
      <c r="F34" s="82" t="s">
        <v>67</v>
      </c>
      <c r="G34" s="79"/>
      <c r="H34" s="79" t="s">
        <v>70</v>
      </c>
      <c r="I34" s="79"/>
      <c r="J34" s="79"/>
      <c r="K34" s="79"/>
      <c r="L34" s="80"/>
      <c r="M34" s="5" t="s">
        <v>52</v>
      </c>
      <c r="N34" s="81" t="n">
        <f aca="false">N33</f>
        <v>0.25</v>
      </c>
      <c r="O34" s="81" t="n">
        <f aca="false">IF(M34="Yes",1,0)</f>
        <v>0</v>
      </c>
      <c r="P34" s="81" t="n">
        <f aca="false">IF(SUMIFS($P$22:$P33,$F$22:$F33,"INTERMEDIATE")=1,O34*N34,0)</f>
        <v>0</v>
      </c>
      <c r="Q34" s="5"/>
      <c r="R34" s="5"/>
      <c r="S34" s="5"/>
      <c r="T34" s="5"/>
      <c r="U34" s="5"/>
      <c r="V34" s="5"/>
      <c r="W34" s="5"/>
      <c r="X34" s="5"/>
    </row>
    <row r="35" customFormat="false" ht="15.75" hidden="false" customHeight="false" outlineLevel="0" collapsed="false">
      <c r="A35" s="5"/>
      <c r="B35" s="41"/>
      <c r="C35" s="42"/>
      <c r="D35" s="43"/>
      <c r="E35" s="44"/>
      <c r="F35" s="83" t="s">
        <v>67</v>
      </c>
      <c r="G35" s="84"/>
      <c r="H35" s="84" t="s">
        <v>71</v>
      </c>
      <c r="I35" s="84"/>
      <c r="J35" s="84"/>
      <c r="K35" s="84"/>
      <c r="L35" s="85"/>
      <c r="M35" s="57" t="s">
        <v>52</v>
      </c>
      <c r="N35" s="86" t="n">
        <f aca="false">N34</f>
        <v>0.25</v>
      </c>
      <c r="O35" s="86" t="n">
        <f aca="false">IF(M35="Yes",1,0)</f>
        <v>0</v>
      </c>
      <c r="P35" s="86" t="n">
        <f aca="false">IF(SUMIFS($P$22:$P34,$F$22:$F34,"INTERMEDIATE")=1,O35*N35,0)</f>
        <v>0</v>
      </c>
      <c r="Q35" s="57"/>
      <c r="R35" s="57"/>
      <c r="S35" s="57"/>
      <c r="T35" s="57"/>
      <c r="U35" s="5"/>
      <c r="V35" s="5"/>
      <c r="W35" s="5"/>
      <c r="X35" s="5"/>
    </row>
    <row r="36" customFormat="false" ht="15.75" hidden="false" customHeight="false" outlineLevel="0" collapsed="false">
      <c r="A36" s="5"/>
      <c r="B36" s="41"/>
      <c r="C36" s="42"/>
      <c r="D36" s="43"/>
      <c r="E36" s="44"/>
      <c r="F36" s="87" t="s">
        <v>72</v>
      </c>
      <c r="G36" s="88"/>
      <c r="H36" s="88" t="s">
        <v>73</v>
      </c>
      <c r="I36" s="88"/>
      <c r="J36" s="88"/>
      <c r="K36" s="88"/>
      <c r="L36" s="89"/>
      <c r="M36" s="5" t="s">
        <v>52</v>
      </c>
      <c r="N36" s="90" t="n">
        <f aca="false">1/COUNTA(H36:H38)</f>
        <v>0.333333333333333</v>
      </c>
      <c r="O36" s="90" t="n">
        <f aca="false">IF(M36="Yes",1,0)</f>
        <v>0</v>
      </c>
      <c r="P36" s="90" t="n">
        <f aca="false">IF(SUMIFS($P$22:$P35,$F$22:$F35,"ADVANCED")=1,O36*N36,0)</f>
        <v>0</v>
      </c>
      <c r="Q36" s="5"/>
      <c r="R36" s="5"/>
      <c r="S36" s="5"/>
      <c r="T36" s="5"/>
      <c r="U36" s="5"/>
      <c r="V36" s="5"/>
      <c r="W36" s="5"/>
      <c r="X36" s="5"/>
    </row>
    <row r="37" customFormat="false" ht="15.75" hidden="false" customHeight="false" outlineLevel="0" collapsed="false">
      <c r="A37" s="5"/>
      <c r="B37" s="41"/>
      <c r="C37" s="42"/>
      <c r="D37" s="43"/>
      <c r="E37" s="44"/>
      <c r="F37" s="91" t="s">
        <v>74</v>
      </c>
      <c r="G37" s="88"/>
      <c r="H37" s="88" t="s">
        <v>75</v>
      </c>
      <c r="I37" s="88"/>
      <c r="J37" s="88"/>
      <c r="K37" s="88"/>
      <c r="L37" s="89"/>
      <c r="M37" s="5" t="s">
        <v>52</v>
      </c>
      <c r="N37" s="90" t="n">
        <f aca="false">N36</f>
        <v>0.333333333333333</v>
      </c>
      <c r="O37" s="90" t="n">
        <f aca="false">IF(M37="Yes",1,0)</f>
        <v>0</v>
      </c>
      <c r="P37" s="90" t="n">
        <f aca="false">IF(SUMIFS($P$22:$P36,$F$22:$F36,"ADVANCED")=1,O37*N37,0)</f>
        <v>0</v>
      </c>
      <c r="Q37" s="5"/>
      <c r="R37" s="5"/>
      <c r="S37" s="5"/>
      <c r="T37" s="5"/>
      <c r="U37" s="5"/>
      <c r="V37" s="5"/>
      <c r="W37" s="5"/>
      <c r="X37" s="5"/>
    </row>
    <row r="38" customFormat="false" ht="15.75" hidden="false" customHeight="false" outlineLevel="0" collapsed="false">
      <c r="A38" s="5"/>
      <c r="B38" s="41"/>
      <c r="C38" s="42"/>
      <c r="D38" s="43"/>
      <c r="E38" s="44"/>
      <c r="F38" s="92" t="s">
        <v>74</v>
      </c>
      <c r="G38" s="93"/>
      <c r="H38" s="93" t="s">
        <v>76</v>
      </c>
      <c r="I38" s="93"/>
      <c r="J38" s="93"/>
      <c r="K38" s="93"/>
      <c r="L38" s="94"/>
      <c r="M38" s="95" t="s">
        <v>52</v>
      </c>
      <c r="N38" s="96" t="n">
        <f aca="false">N37</f>
        <v>0.333333333333333</v>
      </c>
      <c r="O38" s="96" t="n">
        <f aca="false">IF(M38="Yes",1,0)</f>
        <v>0</v>
      </c>
      <c r="P38" s="96" t="n">
        <f aca="false">IF(SUMIFS($P$22:$P37,$F$22:$F37,"ADVANCED")=1,O38*N38,0)</f>
        <v>0</v>
      </c>
      <c r="Q38" s="95"/>
      <c r="R38" s="95"/>
      <c r="S38" s="95"/>
      <c r="T38" s="95"/>
      <c r="U38" s="5"/>
      <c r="V38" s="6" t="s">
        <v>77</v>
      </c>
      <c r="W38" s="97" t="str">
        <f aca="false" t="array" ref="W38:W38">IFERROR(INDEX(Parameters!$B$5:$B$9,MATCH(SUM($P$22:$P$38),Parameters!$C$5:$C$9,0)),INDEX(Parameters!$B$5:$B$9,MATCH(SUM($P$22:$P$38),Parameters!$C$5:$C$9,1)))</f>
        <v>Intermediate</v>
      </c>
      <c r="X38" s="5"/>
    </row>
    <row r="39" customFormat="false" ht="5.25" hidden="false" customHeight="true" outlineLevel="0" collapsed="false">
      <c r="A39" s="5"/>
      <c r="B39" s="41"/>
      <c r="C39" s="42"/>
      <c r="D39" s="6"/>
      <c r="E39" s="6"/>
      <c r="F39" s="5"/>
      <c r="G39" s="26"/>
      <c r="H39" s="26"/>
      <c r="I39" s="5"/>
      <c r="J39" s="5"/>
      <c r="K39" s="5"/>
      <c r="L39" s="5"/>
      <c r="M39" s="5"/>
      <c r="N39" s="5"/>
      <c r="O39" s="5"/>
      <c r="P39" s="98"/>
      <c r="Q39" s="5"/>
      <c r="R39" s="5"/>
      <c r="S39" s="5"/>
      <c r="T39" s="5"/>
      <c r="U39" s="5"/>
      <c r="V39" s="5"/>
      <c r="W39" s="5"/>
      <c r="X39" s="5"/>
    </row>
    <row r="40" customFormat="false" ht="15.75" hidden="false" customHeight="false" outlineLevel="0" collapsed="false">
      <c r="A40" s="5"/>
      <c r="B40" s="41"/>
      <c r="C40" s="42"/>
      <c r="D40" s="43" t="s">
        <v>78</v>
      </c>
      <c r="E40" s="44"/>
      <c r="F40" s="45" t="s">
        <v>50</v>
      </c>
      <c r="G40" s="46"/>
      <c r="H40" s="99" t="s">
        <v>79</v>
      </c>
      <c r="I40" s="46"/>
      <c r="J40" s="46"/>
      <c r="K40" s="47"/>
      <c r="L40" s="47"/>
      <c r="M40" s="14" t="s">
        <v>52</v>
      </c>
      <c r="N40" s="100" t="n">
        <f aca="false">1/COUNTA(H40:H44)</f>
        <v>0.2</v>
      </c>
      <c r="O40" s="100" t="n">
        <f aca="false">IF(M40="No",1,0)</f>
        <v>1</v>
      </c>
      <c r="P40" s="101" t="n">
        <f aca="false">O40*N40</f>
        <v>0.2</v>
      </c>
      <c r="Q40" s="14"/>
      <c r="R40" s="14"/>
      <c r="S40" s="14"/>
      <c r="T40" s="14"/>
      <c r="U40" s="5"/>
      <c r="V40" s="5"/>
      <c r="W40" s="5"/>
      <c r="X40" s="5"/>
    </row>
    <row r="41" customFormat="false" ht="15.75" hidden="false" customHeight="false" outlineLevel="0" collapsed="false">
      <c r="A41" s="5"/>
      <c r="B41" s="41"/>
      <c r="C41" s="42"/>
      <c r="D41" s="43"/>
      <c r="E41" s="44"/>
      <c r="F41" s="49" t="s">
        <v>50</v>
      </c>
      <c r="G41" s="50"/>
      <c r="H41" s="102" t="s">
        <v>80</v>
      </c>
      <c r="I41" s="50"/>
      <c r="J41" s="50"/>
      <c r="K41" s="53"/>
      <c r="L41" s="53"/>
      <c r="M41" s="5" t="s">
        <v>52</v>
      </c>
      <c r="N41" s="103" t="n">
        <f aca="false">N40</f>
        <v>0.2</v>
      </c>
      <c r="O41" s="103" t="n">
        <f aca="false">IF(M41="No",1,0)</f>
        <v>1</v>
      </c>
      <c r="P41" s="101" t="n">
        <f aca="false">O41*N41</f>
        <v>0.2</v>
      </c>
      <c r="Q41" s="5"/>
      <c r="R41" s="5"/>
      <c r="S41" s="5"/>
      <c r="T41" s="5"/>
      <c r="U41" s="5"/>
      <c r="V41" s="5"/>
      <c r="W41" s="5"/>
      <c r="X41" s="5"/>
    </row>
    <row r="42" customFormat="false" ht="15.75" hidden="false" customHeight="false" outlineLevel="0" collapsed="false">
      <c r="A42" s="5"/>
      <c r="B42" s="41"/>
      <c r="C42" s="42"/>
      <c r="D42" s="43"/>
      <c r="E42" s="44"/>
      <c r="F42" s="49" t="s">
        <v>50</v>
      </c>
      <c r="G42" s="50"/>
      <c r="H42" s="102" t="s">
        <v>81</v>
      </c>
      <c r="I42" s="50"/>
      <c r="J42" s="50"/>
      <c r="K42" s="53"/>
      <c r="L42" s="53"/>
      <c r="M42" s="5" t="s">
        <v>52</v>
      </c>
      <c r="N42" s="103" t="n">
        <f aca="false">N41</f>
        <v>0.2</v>
      </c>
      <c r="O42" s="103" t="n">
        <f aca="false">IF(M42="No",1,0)</f>
        <v>1</v>
      </c>
      <c r="P42" s="101" t="n">
        <f aca="false">O42*N42</f>
        <v>0.2</v>
      </c>
      <c r="Q42" s="5"/>
      <c r="R42" s="5"/>
      <c r="S42" s="5"/>
      <c r="T42" s="5"/>
      <c r="U42" s="5"/>
      <c r="V42" s="5"/>
      <c r="W42" s="104"/>
      <c r="X42" s="5"/>
    </row>
    <row r="43" customFormat="false" ht="15.75" hidden="false" customHeight="false" outlineLevel="0" collapsed="false">
      <c r="A43" s="5"/>
      <c r="B43" s="41"/>
      <c r="C43" s="42"/>
      <c r="D43" s="43"/>
      <c r="E43" s="44"/>
      <c r="F43" s="49" t="s">
        <v>50</v>
      </c>
      <c r="G43" s="50"/>
      <c r="H43" s="102" t="s">
        <v>82</v>
      </c>
      <c r="I43" s="50"/>
      <c r="J43" s="50"/>
      <c r="K43" s="53"/>
      <c r="L43" s="53"/>
      <c r="M43" s="5" t="s">
        <v>52</v>
      </c>
      <c r="N43" s="103" t="n">
        <f aca="false">N42</f>
        <v>0.2</v>
      </c>
      <c r="O43" s="103" t="n">
        <f aca="false">IF(M43="No",1,0)</f>
        <v>1</v>
      </c>
      <c r="P43" s="101" t="n">
        <f aca="false">O43*N43</f>
        <v>0.2</v>
      </c>
      <c r="Q43" s="5"/>
      <c r="R43" s="5"/>
      <c r="S43" s="5"/>
      <c r="T43" s="5"/>
      <c r="U43" s="5"/>
      <c r="V43" s="5"/>
      <c r="W43" s="104"/>
      <c r="X43" s="5"/>
    </row>
    <row r="44" customFormat="false" ht="15.75" hidden="false" customHeight="false" outlineLevel="0" collapsed="false">
      <c r="A44" s="5"/>
      <c r="B44" s="41"/>
      <c r="C44" s="42"/>
      <c r="D44" s="43"/>
      <c r="E44" s="44"/>
      <c r="F44" s="54" t="s">
        <v>50</v>
      </c>
      <c r="G44" s="55"/>
      <c r="H44" s="105" t="s">
        <v>83</v>
      </c>
      <c r="I44" s="55"/>
      <c r="J44" s="55"/>
      <c r="K44" s="56"/>
      <c r="L44" s="56"/>
      <c r="M44" s="57" t="s">
        <v>52</v>
      </c>
      <c r="N44" s="106" t="n">
        <f aca="false">N43</f>
        <v>0.2</v>
      </c>
      <c r="O44" s="106" t="n">
        <f aca="false">IF(M44="No",1,0)</f>
        <v>1</v>
      </c>
      <c r="P44" s="107" t="n">
        <f aca="false">O44*N44</f>
        <v>0.2</v>
      </c>
      <c r="Q44" s="57"/>
      <c r="R44" s="57"/>
      <c r="S44" s="57"/>
      <c r="T44" s="57"/>
      <c r="U44" s="5"/>
      <c r="V44" s="5"/>
      <c r="W44" s="104"/>
      <c r="X44" s="5"/>
    </row>
    <row r="45" customFormat="false" ht="15.75" hidden="false" customHeight="false" outlineLevel="0" collapsed="false">
      <c r="A45" s="5"/>
      <c r="B45" s="41"/>
      <c r="C45" s="42"/>
      <c r="D45" s="43"/>
      <c r="E45" s="44"/>
      <c r="F45" s="59" t="s">
        <v>56</v>
      </c>
      <c r="G45" s="60"/>
      <c r="H45" s="108" t="s">
        <v>84</v>
      </c>
      <c r="I45" s="60"/>
      <c r="J45" s="60"/>
      <c r="K45" s="61"/>
      <c r="L45" s="61"/>
      <c r="M45" s="5" t="s">
        <v>58</v>
      </c>
      <c r="N45" s="109" t="n">
        <f aca="false">1/COUNTA($H$45:$H$48)</f>
        <v>0.25</v>
      </c>
      <c r="O45" s="109" t="n">
        <f aca="false">IF(M45="Yes",1,0)</f>
        <v>1</v>
      </c>
      <c r="P45" s="110" t="n">
        <f aca="false">IF(SUMIFS($P$40:$P44,$F$40:$F44,"POOR")=1,O45*N45,0)</f>
        <v>0.25</v>
      </c>
      <c r="Q45" s="5"/>
      <c r="R45" s="5"/>
      <c r="S45" s="5"/>
      <c r="T45" s="5"/>
      <c r="U45" s="5"/>
      <c r="V45" s="5"/>
      <c r="W45" s="104"/>
      <c r="X45" s="5"/>
    </row>
    <row r="46" customFormat="false" ht="15.75" hidden="false" customHeight="false" outlineLevel="0" collapsed="false">
      <c r="A46" s="5"/>
      <c r="B46" s="41"/>
      <c r="C46" s="42"/>
      <c r="D46" s="43"/>
      <c r="E46" s="44"/>
      <c r="F46" s="63" t="s">
        <v>56</v>
      </c>
      <c r="G46" s="60"/>
      <c r="H46" s="108" t="s">
        <v>85</v>
      </c>
      <c r="I46" s="60"/>
      <c r="J46" s="60"/>
      <c r="K46" s="61"/>
      <c r="L46" s="61"/>
      <c r="M46" s="5" t="s">
        <v>58</v>
      </c>
      <c r="N46" s="109" t="n">
        <f aca="false">1/COUNTA($H$45:$H$48)</f>
        <v>0.25</v>
      </c>
      <c r="O46" s="109" t="n">
        <f aca="false">IF(M46="Yes",1,0)</f>
        <v>1</v>
      </c>
      <c r="P46" s="110" t="n">
        <f aca="false">IF(SUMIFS($P$40:$P45,$F$40:$F45,"POOR")=1,O46*N46,0)</f>
        <v>0.25</v>
      </c>
      <c r="Q46" s="5"/>
      <c r="R46" s="5"/>
      <c r="S46" s="5"/>
      <c r="T46" s="5"/>
      <c r="U46" s="5"/>
      <c r="V46" s="5"/>
      <c r="W46" s="104"/>
      <c r="X46" s="5"/>
    </row>
    <row r="47" customFormat="false" ht="15.75" hidden="false" customHeight="false" outlineLevel="0" collapsed="false">
      <c r="A47" s="5"/>
      <c r="B47" s="41"/>
      <c r="C47" s="42"/>
      <c r="D47" s="43"/>
      <c r="E47" s="44"/>
      <c r="F47" s="63" t="s">
        <v>56</v>
      </c>
      <c r="G47" s="60"/>
      <c r="H47" s="108" t="s">
        <v>86</v>
      </c>
      <c r="I47" s="60"/>
      <c r="J47" s="60"/>
      <c r="K47" s="61"/>
      <c r="L47" s="61"/>
      <c r="M47" s="5" t="s">
        <v>58</v>
      </c>
      <c r="N47" s="109" t="n">
        <f aca="false">1/COUNTA($H$45:$H$48)</f>
        <v>0.25</v>
      </c>
      <c r="O47" s="109" t="n">
        <f aca="false">IF(M47="Yes",1,0)</f>
        <v>1</v>
      </c>
      <c r="P47" s="110" t="n">
        <f aca="false">IF(SUMIFS($P$40:$P46,$F$40:$F46,"POOR")=1,O47*N47,0)</f>
        <v>0.25</v>
      </c>
      <c r="Q47" s="5"/>
      <c r="R47" s="5"/>
      <c r="S47" s="5"/>
      <c r="T47" s="5"/>
      <c r="U47" s="5"/>
      <c r="V47" s="5"/>
      <c r="W47" s="104"/>
      <c r="X47" s="5"/>
    </row>
    <row r="48" customFormat="false" ht="15.75" hidden="false" customHeight="false" outlineLevel="0" collapsed="false">
      <c r="A48" s="5"/>
      <c r="B48" s="41"/>
      <c r="C48" s="42"/>
      <c r="D48" s="43"/>
      <c r="E48" s="44"/>
      <c r="F48" s="64" t="s">
        <v>56</v>
      </c>
      <c r="G48" s="65"/>
      <c r="H48" s="65" t="s">
        <v>87</v>
      </c>
      <c r="I48" s="65"/>
      <c r="J48" s="65"/>
      <c r="K48" s="66"/>
      <c r="L48" s="66"/>
      <c r="M48" s="57" t="s">
        <v>58</v>
      </c>
      <c r="N48" s="111" t="n">
        <f aca="false">1/COUNTA($H$45:$H$48)</f>
        <v>0.25</v>
      </c>
      <c r="O48" s="111" t="n">
        <f aca="false">IF(M48="Yes",1,0)</f>
        <v>1</v>
      </c>
      <c r="P48" s="112" t="n">
        <f aca="false">IF(SUMIFS($P$40:$P47,$F$40:$F47,"POOR")=1,O48*N48,0)</f>
        <v>0.25</v>
      </c>
      <c r="Q48" s="57"/>
      <c r="R48" s="57"/>
      <c r="S48" s="57"/>
      <c r="T48" s="57"/>
      <c r="U48" s="5"/>
      <c r="V48" s="5"/>
      <c r="W48" s="104"/>
      <c r="X48" s="5"/>
    </row>
    <row r="49" customFormat="false" ht="15.75" hidden="false" customHeight="false" outlineLevel="0" collapsed="false">
      <c r="A49" s="5"/>
      <c r="B49" s="41"/>
      <c r="C49" s="42"/>
      <c r="D49" s="43"/>
      <c r="E49" s="44"/>
      <c r="F49" s="68" t="s">
        <v>61</v>
      </c>
      <c r="G49" s="69"/>
      <c r="H49" s="113" t="s">
        <v>88</v>
      </c>
      <c r="I49" s="69"/>
      <c r="J49" s="69"/>
      <c r="K49" s="70"/>
      <c r="L49" s="70"/>
      <c r="M49" s="5" t="s">
        <v>52</v>
      </c>
      <c r="N49" s="114" t="n">
        <f aca="false">1/COUNTA(H49:H52)</f>
        <v>0.25</v>
      </c>
      <c r="O49" s="114" t="n">
        <f aca="false">IF(M49="Yes",1,0)</f>
        <v>0</v>
      </c>
      <c r="P49" s="115" t="n">
        <f aca="false">IF(SUMIFS($P$40:$P48,$F$40:$F48,"BASIC")=1,O49*N49,0)</f>
        <v>0</v>
      </c>
      <c r="Q49" s="5"/>
      <c r="R49" s="5"/>
      <c r="S49" s="5"/>
      <c r="T49" s="5"/>
      <c r="U49" s="5"/>
      <c r="V49" s="5"/>
      <c r="W49" s="104"/>
      <c r="X49" s="5"/>
    </row>
    <row r="50" customFormat="false" ht="15.75" hidden="false" customHeight="false" outlineLevel="0" collapsed="false">
      <c r="A50" s="5"/>
      <c r="B50" s="41"/>
      <c r="C50" s="42"/>
      <c r="D50" s="43"/>
      <c r="E50" s="44"/>
      <c r="F50" s="72" t="s">
        <v>61</v>
      </c>
      <c r="G50" s="69"/>
      <c r="H50" s="113" t="s">
        <v>89</v>
      </c>
      <c r="I50" s="69"/>
      <c r="J50" s="69"/>
      <c r="K50" s="70"/>
      <c r="L50" s="70"/>
      <c r="M50" s="5" t="s">
        <v>52</v>
      </c>
      <c r="N50" s="114" t="n">
        <f aca="false">N49</f>
        <v>0.25</v>
      </c>
      <c r="O50" s="114" t="n">
        <f aca="false">IF(M50="Yes",1,0)</f>
        <v>0</v>
      </c>
      <c r="P50" s="115" t="n">
        <f aca="false">IF(SUMIFS($P$40:$P49,$F$40:$F49,"BASIC")=1,O50*N50,0)</f>
        <v>0</v>
      </c>
      <c r="Q50" s="5"/>
      <c r="R50" s="5"/>
      <c r="S50" s="5"/>
      <c r="T50" s="5"/>
      <c r="U50" s="5"/>
      <c r="V50" s="5"/>
      <c r="W50" s="104"/>
      <c r="X50" s="5"/>
    </row>
    <row r="51" customFormat="false" ht="15.75" hidden="false" customHeight="false" outlineLevel="0" collapsed="false">
      <c r="A51" s="5"/>
      <c r="B51" s="41"/>
      <c r="C51" s="42"/>
      <c r="D51" s="43"/>
      <c r="E51" s="44"/>
      <c r="F51" s="72" t="s">
        <v>61</v>
      </c>
      <c r="G51" s="69"/>
      <c r="H51" s="69" t="s">
        <v>90</v>
      </c>
      <c r="I51" s="69"/>
      <c r="J51" s="69"/>
      <c r="K51" s="70"/>
      <c r="L51" s="70"/>
      <c r="M51" s="5" t="s">
        <v>52</v>
      </c>
      <c r="N51" s="114" t="n">
        <f aca="false">N50</f>
        <v>0.25</v>
      </c>
      <c r="O51" s="114" t="n">
        <f aca="false">IF(M51="Yes",1,0)</f>
        <v>0</v>
      </c>
      <c r="P51" s="115" t="n">
        <f aca="false">IF(SUMIFS($P$40:$P50,$F$40:$F50,"BASIC")=1,O51*N51,0)</f>
        <v>0</v>
      </c>
      <c r="Q51" s="5"/>
      <c r="R51" s="5"/>
      <c r="S51" s="5"/>
      <c r="T51" s="5"/>
      <c r="U51" s="5"/>
      <c r="V51" s="5"/>
      <c r="W51" s="104"/>
      <c r="X51" s="5"/>
    </row>
    <row r="52" customFormat="false" ht="15.75" hidden="false" customHeight="false" outlineLevel="0" collapsed="false">
      <c r="A52" s="5"/>
      <c r="B52" s="41"/>
      <c r="C52" s="42"/>
      <c r="D52" s="43"/>
      <c r="E52" s="44"/>
      <c r="F52" s="73" t="s">
        <v>61</v>
      </c>
      <c r="G52" s="74"/>
      <c r="H52" s="116" t="s">
        <v>91</v>
      </c>
      <c r="I52" s="74"/>
      <c r="J52" s="74"/>
      <c r="K52" s="75"/>
      <c r="L52" s="75"/>
      <c r="M52" s="57" t="s">
        <v>52</v>
      </c>
      <c r="N52" s="117" t="n">
        <f aca="false">N51</f>
        <v>0.25</v>
      </c>
      <c r="O52" s="117" t="n">
        <f aca="false">IF(M52="Yes",1,0)</f>
        <v>0</v>
      </c>
      <c r="P52" s="118" t="n">
        <f aca="false">IF(SUMIFS($P$40:$P51,$F$40:$F51,"BASIC")=1,O52*N52,0)</f>
        <v>0</v>
      </c>
      <c r="Q52" s="57"/>
      <c r="R52" s="57"/>
      <c r="S52" s="57"/>
      <c r="T52" s="57"/>
      <c r="U52" s="5"/>
      <c r="V52" s="5"/>
      <c r="W52" s="104"/>
      <c r="X52" s="5"/>
    </row>
    <row r="53" customFormat="false" ht="15.75" hidden="false" customHeight="false" outlineLevel="0" collapsed="false">
      <c r="A53" s="5"/>
      <c r="B53" s="41"/>
      <c r="C53" s="42"/>
      <c r="D53" s="43"/>
      <c r="E53" s="44"/>
      <c r="F53" s="78" t="s">
        <v>67</v>
      </c>
      <c r="G53" s="79"/>
      <c r="H53" s="119" t="s">
        <v>92</v>
      </c>
      <c r="I53" s="79"/>
      <c r="J53" s="79"/>
      <c r="K53" s="80"/>
      <c r="L53" s="80"/>
      <c r="M53" s="5" t="s">
        <v>52</v>
      </c>
      <c r="N53" s="120" t="n">
        <f aca="false">1/COUNTA(H53:H56)</f>
        <v>0.25</v>
      </c>
      <c r="O53" s="120" t="n">
        <f aca="false">IF(M53="Yes",1,0)</f>
        <v>0</v>
      </c>
      <c r="P53" s="121" t="n">
        <f aca="false">IF(SUMIFS($P$40:$P52,$F$40:$F52,"INTERMEDIATE")=1,O53*N53,0)</f>
        <v>0</v>
      </c>
      <c r="Q53" s="5"/>
      <c r="R53" s="5"/>
      <c r="S53" s="5"/>
      <c r="T53" s="5"/>
      <c r="U53" s="5"/>
      <c r="V53" s="5"/>
      <c r="W53" s="5"/>
      <c r="X53" s="5"/>
    </row>
    <row r="54" customFormat="false" ht="15.75" hidden="false" customHeight="false" outlineLevel="0" collapsed="false">
      <c r="A54" s="5"/>
      <c r="B54" s="41"/>
      <c r="C54" s="42"/>
      <c r="D54" s="43"/>
      <c r="E54" s="44"/>
      <c r="F54" s="82" t="s">
        <v>67</v>
      </c>
      <c r="G54" s="79"/>
      <c r="H54" s="119" t="s">
        <v>93</v>
      </c>
      <c r="I54" s="79"/>
      <c r="J54" s="79"/>
      <c r="K54" s="80"/>
      <c r="L54" s="80"/>
      <c r="M54" s="5" t="s">
        <v>52</v>
      </c>
      <c r="N54" s="120" t="n">
        <f aca="false">N53</f>
        <v>0.25</v>
      </c>
      <c r="O54" s="120" t="n">
        <f aca="false">IF(M54="Yes",1,0)</f>
        <v>0</v>
      </c>
      <c r="P54" s="121" t="n">
        <f aca="false">IF(SUMIFS($P$40:$P53,$F$40:$F53,"INTERMEDIATE")=1,O54*N54,0)</f>
        <v>0</v>
      </c>
      <c r="Q54" s="5"/>
      <c r="R54" s="5"/>
      <c r="S54" s="5"/>
      <c r="T54" s="5"/>
      <c r="U54" s="5"/>
      <c r="V54" s="5"/>
      <c r="W54" s="5"/>
      <c r="X54" s="5"/>
    </row>
    <row r="55" customFormat="false" ht="15.75" hidden="false" customHeight="false" outlineLevel="0" collapsed="false">
      <c r="A55" s="5"/>
      <c r="B55" s="41"/>
      <c r="C55" s="42"/>
      <c r="D55" s="43"/>
      <c r="E55" s="44"/>
      <c r="F55" s="82" t="s">
        <v>67</v>
      </c>
      <c r="G55" s="79"/>
      <c r="H55" s="119" t="s">
        <v>94</v>
      </c>
      <c r="I55" s="79"/>
      <c r="J55" s="79"/>
      <c r="K55" s="80"/>
      <c r="L55" s="80"/>
      <c r="M55" s="5" t="s">
        <v>52</v>
      </c>
      <c r="N55" s="120" t="n">
        <f aca="false">N54</f>
        <v>0.25</v>
      </c>
      <c r="O55" s="120" t="n">
        <f aca="false">IF(M55="Yes",1,0)</f>
        <v>0</v>
      </c>
      <c r="P55" s="121" t="n">
        <f aca="false">IF(SUMIFS($P$40:$P54,$F$40:$F54,"INTERMEDIATE")=1,O55*N55,0)</f>
        <v>0</v>
      </c>
      <c r="Q55" s="5"/>
      <c r="R55" s="5"/>
      <c r="S55" s="5"/>
      <c r="T55" s="5"/>
      <c r="U55" s="5"/>
      <c r="V55" s="5"/>
      <c r="W55" s="5"/>
      <c r="X55" s="5"/>
    </row>
    <row r="56" customFormat="false" ht="15.75" hidden="false" customHeight="false" outlineLevel="0" collapsed="false">
      <c r="A56" s="5"/>
      <c r="B56" s="41"/>
      <c r="C56" s="42"/>
      <c r="D56" s="43"/>
      <c r="E56" s="44"/>
      <c r="F56" s="83" t="s">
        <v>67</v>
      </c>
      <c r="G56" s="84"/>
      <c r="H56" s="122" t="s">
        <v>95</v>
      </c>
      <c r="I56" s="84"/>
      <c r="J56" s="84"/>
      <c r="K56" s="85"/>
      <c r="L56" s="85"/>
      <c r="M56" s="57" t="s">
        <v>52</v>
      </c>
      <c r="N56" s="123" t="n">
        <f aca="false">N55</f>
        <v>0.25</v>
      </c>
      <c r="O56" s="123" t="n">
        <f aca="false">IF(M56="Yes",1,0)</f>
        <v>0</v>
      </c>
      <c r="P56" s="124" t="n">
        <f aca="false">IF(SUMIFS($P$40:$P55,$F$40:$F55,"INTERMEDIATE")=1,O56*N56,0)</f>
        <v>0</v>
      </c>
      <c r="Q56" s="57"/>
      <c r="R56" s="57"/>
      <c r="S56" s="57"/>
      <c r="T56" s="57"/>
      <c r="U56" s="5"/>
      <c r="V56" s="5"/>
      <c r="W56" s="5"/>
      <c r="X56" s="5"/>
    </row>
    <row r="57" customFormat="false" ht="15.75" hidden="false" customHeight="false" outlineLevel="0" collapsed="false">
      <c r="A57" s="5"/>
      <c r="B57" s="41"/>
      <c r="C57" s="42"/>
      <c r="D57" s="43"/>
      <c r="E57" s="44"/>
      <c r="F57" s="87" t="s">
        <v>74</v>
      </c>
      <c r="G57" s="88"/>
      <c r="H57" s="88" t="s">
        <v>96</v>
      </c>
      <c r="I57" s="88"/>
      <c r="J57" s="88"/>
      <c r="K57" s="89"/>
      <c r="L57" s="89"/>
      <c r="M57" s="5" t="s">
        <v>52</v>
      </c>
      <c r="N57" s="125" t="n">
        <f aca="false">1/COUNTA(H57:H59)</f>
        <v>0.333333333333333</v>
      </c>
      <c r="O57" s="125" t="n">
        <f aca="false">IF(M57="Yes",1,0)</f>
        <v>0</v>
      </c>
      <c r="P57" s="126" t="n">
        <f aca="false">IF(SUMIFS($P$40:$P56,$F$40:$F56,"ADVANCED")=1,O57*N57,0)</f>
        <v>0</v>
      </c>
      <c r="Q57" s="5"/>
      <c r="R57" s="5"/>
      <c r="S57" s="5"/>
      <c r="T57" s="5"/>
      <c r="U57" s="5"/>
      <c r="V57" s="5"/>
      <c r="W57" s="5"/>
      <c r="X57" s="5"/>
    </row>
    <row r="58" customFormat="false" ht="15.75" hidden="false" customHeight="false" outlineLevel="0" collapsed="false">
      <c r="A58" s="5"/>
      <c r="B58" s="41"/>
      <c r="C58" s="42"/>
      <c r="D58" s="43"/>
      <c r="E58" s="44"/>
      <c r="F58" s="91" t="s">
        <v>74</v>
      </c>
      <c r="G58" s="88"/>
      <c r="H58" s="88" t="s">
        <v>97</v>
      </c>
      <c r="I58" s="88"/>
      <c r="J58" s="88"/>
      <c r="K58" s="89"/>
      <c r="L58" s="89"/>
      <c r="M58" s="5" t="s">
        <v>52</v>
      </c>
      <c r="N58" s="125" t="n">
        <f aca="false">N57</f>
        <v>0.333333333333333</v>
      </c>
      <c r="O58" s="125" t="n">
        <f aca="false">IF(M58="Yes",1,0)</f>
        <v>0</v>
      </c>
      <c r="P58" s="126" t="n">
        <f aca="false">IF(SUMIFS($P$40:$P57,$F$40:$F57,"ADVANCED")=1,O58*N58,0)</f>
        <v>0</v>
      </c>
      <c r="Q58" s="5"/>
      <c r="R58" s="5"/>
      <c r="S58" s="5"/>
      <c r="T58" s="5"/>
      <c r="U58" s="5"/>
      <c r="V58" s="5"/>
      <c r="W58" s="5"/>
      <c r="X58" s="5"/>
    </row>
    <row r="59" customFormat="false" ht="15.75" hidden="false" customHeight="false" outlineLevel="0" collapsed="false">
      <c r="A59" s="5"/>
      <c r="B59" s="41"/>
      <c r="C59" s="42"/>
      <c r="D59" s="43"/>
      <c r="E59" s="44"/>
      <c r="F59" s="92" t="s">
        <v>74</v>
      </c>
      <c r="G59" s="93"/>
      <c r="H59" s="93" t="s">
        <v>98</v>
      </c>
      <c r="I59" s="93"/>
      <c r="J59" s="93"/>
      <c r="K59" s="94"/>
      <c r="L59" s="94"/>
      <c r="M59" s="95" t="s">
        <v>52</v>
      </c>
      <c r="N59" s="127" t="n">
        <f aca="false">N58</f>
        <v>0.333333333333333</v>
      </c>
      <c r="O59" s="127" t="n">
        <f aca="false">IF(M59="Yes",1,0)</f>
        <v>0</v>
      </c>
      <c r="P59" s="128" t="n">
        <f aca="false">IF(SUMIFS($P$40:$P58,$F$40:$F58,"ADVANCED")=1,O59*N59,0)</f>
        <v>0</v>
      </c>
      <c r="Q59" s="95"/>
      <c r="R59" s="95"/>
      <c r="S59" s="95"/>
      <c r="T59" s="95"/>
      <c r="U59" s="5"/>
      <c r="V59" s="6" t="s">
        <v>77</v>
      </c>
      <c r="W59" s="97" t="str">
        <f aca="false" t="array" ref="W59:W59">IFERROR(INDEX(Parameters!$B$5:$B$9,MATCH(SUM($P$40:$P$59),Parameters!$C$5:$C$9,0)),INDEX(Parameters!$B$5:$B$9,MATCH(SUM($P$40:$P$59),Parameters!$C$5:$C$9,1)))</f>
        <v>Basic</v>
      </c>
      <c r="X59" s="5"/>
    </row>
    <row r="60" customFormat="false" ht="5.25" hidden="false" customHeight="true" outlineLevel="0" collapsed="false">
      <c r="A60" s="5"/>
      <c r="B60" s="41"/>
      <c r="C60" s="42"/>
      <c r="D60" s="5"/>
      <c r="E60" s="5"/>
      <c r="F60" s="5"/>
      <c r="G60" s="26"/>
      <c r="H60" s="26"/>
      <c r="I60" s="5"/>
      <c r="J60" s="5"/>
      <c r="K60" s="5"/>
      <c r="L60" s="5"/>
      <c r="M60" s="5"/>
      <c r="N60" s="5"/>
      <c r="O60" s="5"/>
      <c r="P60" s="98"/>
      <c r="Q60" s="5"/>
      <c r="R60" s="5"/>
      <c r="S60" s="5"/>
      <c r="T60" s="5"/>
      <c r="U60" s="5"/>
      <c r="V60" s="5"/>
      <c r="W60" s="5"/>
      <c r="X60" s="5"/>
    </row>
    <row r="61" customFormat="false" ht="15.75" hidden="false" customHeight="false" outlineLevel="0" collapsed="false">
      <c r="A61" s="5"/>
      <c r="B61" s="41"/>
      <c r="C61" s="42"/>
      <c r="D61" s="43" t="s">
        <v>31</v>
      </c>
      <c r="E61" s="44"/>
      <c r="F61" s="129" t="s">
        <v>50</v>
      </c>
      <c r="G61" s="46"/>
      <c r="H61" s="46" t="s">
        <v>99</v>
      </c>
      <c r="I61" s="46"/>
      <c r="J61" s="46"/>
      <c r="K61" s="46"/>
      <c r="L61" s="46"/>
      <c r="M61" s="14" t="s">
        <v>52</v>
      </c>
      <c r="N61" s="100" t="n">
        <f aca="false">1/COUNTA(H61:H63)</f>
        <v>0.333333333333333</v>
      </c>
      <c r="O61" s="100" t="n">
        <f aca="false">IF(M61="No",1,0)</f>
        <v>1</v>
      </c>
      <c r="P61" s="101" t="n">
        <f aca="false">O61*N61</f>
        <v>0.333333333333333</v>
      </c>
      <c r="Q61" s="130"/>
      <c r="R61" s="130"/>
      <c r="S61" s="130"/>
      <c r="T61" s="130"/>
      <c r="U61" s="5"/>
      <c r="V61" s="5"/>
      <c r="W61" s="5"/>
      <c r="X61" s="5"/>
    </row>
    <row r="62" customFormat="false" ht="15.75" hidden="false" customHeight="false" outlineLevel="0" collapsed="false">
      <c r="A62" s="5"/>
      <c r="B62" s="41"/>
      <c r="C62" s="42"/>
      <c r="D62" s="43"/>
      <c r="E62" s="44"/>
      <c r="F62" s="131" t="s">
        <v>50</v>
      </c>
      <c r="G62" s="50"/>
      <c r="H62" s="50" t="s">
        <v>100</v>
      </c>
      <c r="I62" s="50"/>
      <c r="J62" s="50"/>
      <c r="K62" s="50"/>
      <c r="L62" s="50"/>
      <c r="M62" s="5" t="s">
        <v>52</v>
      </c>
      <c r="N62" s="103" t="n">
        <f aca="false">N61</f>
        <v>0.333333333333333</v>
      </c>
      <c r="O62" s="103" t="n">
        <f aca="false">IF(M62="No",1,0)</f>
        <v>1</v>
      </c>
      <c r="P62" s="101" t="n">
        <f aca="false">O62*N62</f>
        <v>0.333333333333333</v>
      </c>
      <c r="Q62" s="132"/>
      <c r="R62" s="132"/>
      <c r="S62" s="132"/>
      <c r="T62" s="132"/>
      <c r="U62" s="5"/>
      <c r="V62" s="5"/>
      <c r="W62" s="5"/>
      <c r="X62" s="5"/>
    </row>
    <row r="63" customFormat="false" ht="15.75" hidden="false" customHeight="false" outlineLevel="0" collapsed="false">
      <c r="A63" s="5"/>
      <c r="B63" s="41"/>
      <c r="C63" s="42"/>
      <c r="D63" s="43"/>
      <c r="E63" s="44"/>
      <c r="F63" s="133" t="s">
        <v>50</v>
      </c>
      <c r="G63" s="55"/>
      <c r="H63" s="55" t="s">
        <v>101</v>
      </c>
      <c r="I63" s="55"/>
      <c r="J63" s="55"/>
      <c r="K63" s="55"/>
      <c r="L63" s="55"/>
      <c r="M63" s="57" t="s">
        <v>52</v>
      </c>
      <c r="N63" s="106" t="n">
        <f aca="false">N62</f>
        <v>0.333333333333333</v>
      </c>
      <c r="O63" s="106" t="n">
        <f aca="false">IF(M63="No",1,0)</f>
        <v>1</v>
      </c>
      <c r="P63" s="107" t="n">
        <f aca="false">O63*N63</f>
        <v>0.333333333333333</v>
      </c>
      <c r="Q63" s="134"/>
      <c r="R63" s="134"/>
      <c r="S63" s="134"/>
      <c r="T63" s="134"/>
      <c r="U63" s="5"/>
      <c r="V63" s="5"/>
      <c r="W63" s="5"/>
      <c r="X63" s="5"/>
    </row>
    <row r="64" customFormat="false" ht="15.75" hidden="false" customHeight="false" outlineLevel="0" collapsed="false">
      <c r="A64" s="5"/>
      <c r="B64" s="41"/>
      <c r="C64" s="42"/>
      <c r="D64" s="43"/>
      <c r="E64" s="44"/>
      <c r="F64" s="59" t="s">
        <v>56</v>
      </c>
      <c r="G64" s="60"/>
      <c r="H64" s="60" t="s">
        <v>102</v>
      </c>
      <c r="I64" s="60"/>
      <c r="J64" s="60"/>
      <c r="K64" s="60"/>
      <c r="L64" s="60"/>
      <c r="M64" s="5" t="s">
        <v>58</v>
      </c>
      <c r="N64" s="109" t="n">
        <f aca="false">1/COUNTA(H64:H65)</f>
        <v>0.5</v>
      </c>
      <c r="O64" s="109" t="n">
        <f aca="false">IF(M64="Yes",1,0)</f>
        <v>1</v>
      </c>
      <c r="P64" s="110" t="n">
        <f aca="false">IF(SUMIFS($P$61:$P63,$F$61:$F63,"POOR")=1,O64*N64,0)</f>
        <v>0.5</v>
      </c>
      <c r="Q64" s="132"/>
      <c r="R64" s="132"/>
      <c r="S64" s="132"/>
      <c r="T64" s="132"/>
      <c r="U64" s="5"/>
      <c r="V64" s="5"/>
      <c r="W64" s="5"/>
      <c r="X64" s="5"/>
    </row>
    <row r="65" customFormat="false" ht="15.75" hidden="false" customHeight="false" outlineLevel="0" collapsed="false">
      <c r="A65" s="5"/>
      <c r="B65" s="41"/>
      <c r="C65" s="42"/>
      <c r="D65" s="43"/>
      <c r="E65" s="44"/>
      <c r="F65" s="135" t="s">
        <v>56</v>
      </c>
      <c r="G65" s="65"/>
      <c r="H65" s="65" t="s">
        <v>103</v>
      </c>
      <c r="I65" s="65"/>
      <c r="J65" s="65"/>
      <c r="K65" s="65"/>
      <c r="L65" s="65"/>
      <c r="M65" s="57" t="s">
        <v>58</v>
      </c>
      <c r="N65" s="111" t="n">
        <f aca="false">N64</f>
        <v>0.5</v>
      </c>
      <c r="O65" s="111" t="n">
        <f aca="false">IF(M65="Yes",1,0)</f>
        <v>1</v>
      </c>
      <c r="P65" s="112" t="n">
        <f aca="false">IF(SUMIFS($P$61:$P64,$F$61:$F64,"POOR")=1,O65*N65,0)</f>
        <v>0.5</v>
      </c>
      <c r="Q65" s="134"/>
      <c r="R65" s="134"/>
      <c r="S65" s="134"/>
      <c r="T65" s="134"/>
      <c r="U65" s="5"/>
      <c r="V65" s="5"/>
      <c r="W65" s="5"/>
      <c r="X65" s="5"/>
    </row>
    <row r="66" customFormat="false" ht="15.75" hidden="false" customHeight="false" outlineLevel="0" collapsed="false">
      <c r="A66" s="5"/>
      <c r="B66" s="41"/>
      <c r="C66" s="42"/>
      <c r="D66" s="43"/>
      <c r="E66" s="44"/>
      <c r="F66" s="136" t="s">
        <v>61</v>
      </c>
      <c r="G66" s="69"/>
      <c r="H66" s="69" t="s">
        <v>104</v>
      </c>
      <c r="I66" s="69"/>
      <c r="J66" s="69"/>
      <c r="K66" s="69"/>
      <c r="L66" s="69"/>
      <c r="M66" s="5" t="s">
        <v>58</v>
      </c>
      <c r="N66" s="114" t="n">
        <f aca="false">1/COUNTA(H66:H67)</f>
        <v>0.5</v>
      </c>
      <c r="O66" s="114" t="n">
        <f aca="false">IF(M66="Yes",1,0)</f>
        <v>1</v>
      </c>
      <c r="P66" s="115" t="n">
        <f aca="false">IF(SUMIFS($P$61:$P65,$F$61:$F65,"BASIC")=1,O66*N66,0)</f>
        <v>0.5</v>
      </c>
      <c r="Q66" s="5" t="s">
        <v>105</v>
      </c>
      <c r="R66" s="5"/>
      <c r="S66" s="5"/>
      <c r="T66" s="5"/>
      <c r="U66" s="5"/>
      <c r="V66" s="5"/>
      <c r="W66" s="5"/>
      <c r="X66" s="5"/>
    </row>
    <row r="67" customFormat="false" ht="15.75" hidden="false" customHeight="false" outlineLevel="0" collapsed="false">
      <c r="A67" s="5"/>
      <c r="B67" s="41"/>
      <c r="C67" s="42"/>
      <c r="D67" s="43"/>
      <c r="E67" s="44"/>
      <c r="F67" s="137" t="s">
        <v>61</v>
      </c>
      <c r="G67" s="74"/>
      <c r="H67" s="74" t="s">
        <v>106</v>
      </c>
      <c r="I67" s="74"/>
      <c r="J67" s="74"/>
      <c r="K67" s="74"/>
      <c r="L67" s="74"/>
      <c r="M67" s="57" t="s">
        <v>58</v>
      </c>
      <c r="N67" s="117" t="n">
        <f aca="false">N66</f>
        <v>0.5</v>
      </c>
      <c r="O67" s="117" t="n">
        <f aca="false">IF(M67="Yes",1,0)</f>
        <v>1</v>
      </c>
      <c r="P67" s="118" t="n">
        <f aca="false">IF(SUMIFS($P$61:$P66,$F$61:$F66,"BASIC")=1,O67*N67,0)</f>
        <v>0.5</v>
      </c>
      <c r="Q67" s="57"/>
      <c r="R67" s="57"/>
      <c r="S67" s="57"/>
      <c r="T67" s="57"/>
      <c r="U67" s="5"/>
      <c r="V67" s="5"/>
      <c r="W67" s="5"/>
      <c r="X67" s="5"/>
    </row>
    <row r="68" customFormat="false" ht="15.75" hidden="false" customHeight="false" outlineLevel="0" collapsed="false">
      <c r="A68" s="5"/>
      <c r="B68" s="41"/>
      <c r="C68" s="42"/>
      <c r="D68" s="43"/>
      <c r="E68" s="44"/>
      <c r="F68" s="138" t="s">
        <v>67</v>
      </c>
      <c r="G68" s="79"/>
      <c r="H68" s="139" t="s">
        <v>107</v>
      </c>
      <c r="I68" s="79"/>
      <c r="J68" s="79"/>
      <c r="K68" s="79"/>
      <c r="L68" s="79"/>
      <c r="M68" s="5" t="s">
        <v>52</v>
      </c>
      <c r="N68" s="120" t="n">
        <f aca="false">1/COUNTA(H68:H69)</f>
        <v>0.5</v>
      </c>
      <c r="O68" s="120" t="n">
        <f aca="false">IF(M68="Yes",1,0)</f>
        <v>0</v>
      </c>
      <c r="P68" s="121" t="n">
        <f aca="false">IF(SUMIFS($P$61:$P67,$F$61:$F67,"INTERMEDIATE")=1,O68*N68,0)</f>
        <v>0</v>
      </c>
      <c r="Q68" s="5"/>
      <c r="R68" s="5"/>
      <c r="S68" s="5"/>
      <c r="T68" s="5"/>
      <c r="U68" s="5"/>
      <c r="V68" s="5"/>
      <c r="W68" s="5"/>
      <c r="X68" s="5"/>
    </row>
    <row r="69" customFormat="false" ht="15.75" hidden="false" customHeight="false" outlineLevel="0" collapsed="false">
      <c r="A69" s="5"/>
      <c r="B69" s="41"/>
      <c r="C69" s="42"/>
      <c r="D69" s="43"/>
      <c r="E69" s="44"/>
      <c r="F69" s="140" t="s">
        <v>67</v>
      </c>
      <c r="G69" s="84"/>
      <c r="H69" s="84" t="s">
        <v>108</v>
      </c>
      <c r="I69" s="84"/>
      <c r="J69" s="84"/>
      <c r="K69" s="84"/>
      <c r="L69" s="84"/>
      <c r="M69" s="57" t="s">
        <v>52</v>
      </c>
      <c r="N69" s="123" t="n">
        <f aca="false">N68</f>
        <v>0.5</v>
      </c>
      <c r="O69" s="123" t="n">
        <f aca="false">IF(M69="Yes",1,0)</f>
        <v>0</v>
      </c>
      <c r="P69" s="124" t="n">
        <f aca="false">IF(SUMIFS($P$61:$P68,$F$61:$F68,"INTERMEDIATE")=1,O69*N69,0)</f>
        <v>0</v>
      </c>
      <c r="Q69" s="57"/>
      <c r="R69" s="57"/>
      <c r="S69" s="57"/>
      <c r="T69" s="57"/>
      <c r="U69" s="5"/>
      <c r="V69" s="5"/>
      <c r="W69" s="5"/>
      <c r="X69" s="5"/>
    </row>
    <row r="70" customFormat="false" ht="15.75" hidden="false" customHeight="false" outlineLevel="0" collapsed="false">
      <c r="A70" s="5"/>
      <c r="B70" s="41"/>
      <c r="C70" s="42"/>
      <c r="D70" s="43"/>
      <c r="E70" s="44"/>
      <c r="F70" s="141" t="s">
        <v>72</v>
      </c>
      <c r="G70" s="93"/>
      <c r="H70" s="93" t="s">
        <v>109</v>
      </c>
      <c r="I70" s="93"/>
      <c r="J70" s="93"/>
      <c r="K70" s="93"/>
      <c r="L70" s="93"/>
      <c r="M70" s="95" t="s">
        <v>52</v>
      </c>
      <c r="N70" s="127" t="n">
        <v>1</v>
      </c>
      <c r="O70" s="127" t="n">
        <f aca="false">IF(M70="Yes",1,0)</f>
        <v>0</v>
      </c>
      <c r="P70" s="128" t="n">
        <f aca="false">IF(SUMIFS($P$61:$P69,$F$61:$F69,"ADVANCED")=1,O70*N70,0)</f>
        <v>0</v>
      </c>
      <c r="Q70" s="95"/>
      <c r="R70" s="95"/>
      <c r="S70" s="95"/>
      <c r="T70" s="95"/>
      <c r="U70" s="5"/>
      <c r="V70" s="6" t="s">
        <v>77</v>
      </c>
      <c r="W70" s="97" t="str">
        <f aca="false" t="array" ref="W70:W70">IFERROR(INDEX(Parameters!$B$5:$B$9,MATCH(SUM($P$61:$P$70),Parameters!$C$5:$C$9,0)),INDEX(Parameters!$B$5:$B$9,MATCH(SUM($P$61:$P$70),Parameters!$C$5:$C$9,1)))</f>
        <v>Intermediate</v>
      </c>
      <c r="X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26"/>
      <c r="H71" s="26"/>
      <c r="I71" s="5"/>
      <c r="J71" s="5"/>
      <c r="K71" s="5"/>
      <c r="L71" s="5"/>
      <c r="M71" s="5"/>
      <c r="N71" s="5"/>
      <c r="O71" s="5"/>
      <c r="P71" s="142"/>
      <c r="Q71" s="5"/>
      <c r="R71" s="5"/>
      <c r="S71" s="5"/>
      <c r="T71" s="5"/>
      <c r="U71" s="5"/>
      <c r="V71" s="5"/>
      <c r="W71" s="5"/>
      <c r="X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26"/>
      <c r="H72" s="26"/>
      <c r="I72" s="5"/>
      <c r="J72" s="5"/>
      <c r="K72" s="5"/>
      <c r="L72" s="5"/>
      <c r="M72" s="5"/>
      <c r="N72" s="5"/>
      <c r="O72" s="5"/>
      <c r="P72" s="98"/>
      <c r="Q72" s="5"/>
      <c r="R72" s="5"/>
      <c r="S72" s="5"/>
      <c r="T72" s="5"/>
      <c r="U72" s="5"/>
      <c r="V72" s="5"/>
      <c r="W72" s="5"/>
      <c r="X72" s="5"/>
    </row>
    <row r="73" customFormat="false" ht="15.75" hidden="false" customHeight="true" outlineLevel="0" collapsed="false">
      <c r="A73" s="5"/>
      <c r="B73" s="41" t="s">
        <v>110</v>
      </c>
      <c r="C73" s="143"/>
      <c r="D73" s="43" t="s">
        <v>111</v>
      </c>
      <c r="E73" s="42"/>
      <c r="F73" s="45" t="s">
        <v>50</v>
      </c>
      <c r="G73" s="144"/>
      <c r="H73" s="145" t="s">
        <v>112</v>
      </c>
      <c r="I73" s="145"/>
      <c r="J73" s="145"/>
      <c r="K73" s="145"/>
      <c r="L73" s="145"/>
      <c r="M73" s="146" t="s">
        <v>52</v>
      </c>
      <c r="N73" s="147" t="n">
        <v>1</v>
      </c>
      <c r="O73" s="147" t="n">
        <f aca="false">IF(M73="No",1,0)</f>
        <v>1</v>
      </c>
      <c r="P73" s="148" t="n">
        <f aca="false">O73*N73</f>
        <v>1</v>
      </c>
      <c r="Q73" s="146"/>
      <c r="R73" s="146"/>
      <c r="S73" s="146"/>
      <c r="T73" s="146"/>
      <c r="U73" s="5"/>
      <c r="V73" s="5"/>
      <c r="W73" s="5"/>
      <c r="X73" s="5"/>
    </row>
    <row r="74" customFormat="false" ht="15.75" hidden="false" customHeight="false" outlineLevel="0" collapsed="false">
      <c r="A74" s="5"/>
      <c r="B74" s="41"/>
      <c r="C74" s="143"/>
      <c r="D74" s="43"/>
      <c r="E74" s="42"/>
      <c r="F74" s="149" t="s">
        <v>56</v>
      </c>
      <c r="G74" s="150"/>
      <c r="H74" s="151" t="s">
        <v>113</v>
      </c>
      <c r="I74" s="151"/>
      <c r="J74" s="151"/>
      <c r="K74" s="151"/>
      <c r="L74" s="151"/>
      <c r="M74" s="152" t="s">
        <v>58</v>
      </c>
      <c r="N74" s="153" t="n">
        <v>1</v>
      </c>
      <c r="O74" s="153" t="n">
        <f aca="false">IF(M74="Yes",1,0)</f>
        <v>1</v>
      </c>
      <c r="P74" s="154" t="n">
        <f aca="false">IF(SUMIFS($P73,$F73,"POOR")=1,O74*N74,0)</f>
        <v>1</v>
      </c>
      <c r="Q74" s="152"/>
      <c r="R74" s="152"/>
      <c r="S74" s="152"/>
      <c r="T74" s="152"/>
      <c r="U74" s="5"/>
      <c r="V74" s="5"/>
      <c r="W74" s="5"/>
      <c r="X74" s="5"/>
    </row>
    <row r="75" customFormat="false" ht="15.75" hidden="false" customHeight="false" outlineLevel="0" collapsed="false">
      <c r="A75" s="5"/>
      <c r="B75" s="41"/>
      <c r="C75" s="143"/>
      <c r="D75" s="43"/>
      <c r="E75" s="42"/>
      <c r="F75" s="68" t="s">
        <v>61</v>
      </c>
      <c r="G75" s="155"/>
      <c r="H75" s="156" t="s">
        <v>114</v>
      </c>
      <c r="I75" s="156"/>
      <c r="J75" s="156"/>
      <c r="K75" s="156"/>
      <c r="L75" s="156"/>
      <c r="M75" s="157" t="s">
        <v>58</v>
      </c>
      <c r="N75" s="158" t="n">
        <v>1</v>
      </c>
      <c r="O75" s="158" t="n">
        <f aca="false">IF(M75="Yes",1,0)</f>
        <v>1</v>
      </c>
      <c r="P75" s="159" t="n">
        <f aca="false">IF(SUMIFS($P73:$P74,$F73:$F74,"BASIC")=1,O75*N75,0)</f>
        <v>1</v>
      </c>
      <c r="Q75" s="160"/>
      <c r="R75" s="160"/>
      <c r="S75" s="160"/>
      <c r="T75" s="160"/>
      <c r="U75" s="5"/>
      <c r="V75" s="5"/>
      <c r="W75" s="5"/>
      <c r="X75" s="5"/>
    </row>
    <row r="76" customFormat="false" ht="15.75" hidden="false" customHeight="false" outlineLevel="0" collapsed="false">
      <c r="A76" s="5"/>
      <c r="B76" s="41"/>
      <c r="C76" s="143"/>
      <c r="D76" s="43"/>
      <c r="E76" s="42"/>
      <c r="F76" s="161" t="s">
        <v>67</v>
      </c>
      <c r="G76" s="162"/>
      <c r="H76" s="162" t="s">
        <v>115</v>
      </c>
      <c r="I76" s="162"/>
      <c r="J76" s="162"/>
      <c r="K76" s="162"/>
      <c r="L76" s="162"/>
      <c r="M76" s="163" t="s">
        <v>58</v>
      </c>
      <c r="N76" s="164" t="n">
        <v>1</v>
      </c>
      <c r="O76" s="164" t="n">
        <f aca="false">IF(M76="Yes",1,0)</f>
        <v>1</v>
      </c>
      <c r="P76" s="165" t="n">
        <f aca="false">IF(SUMIFS($P73:$P75,$F73:$F75,"INTERMEDIATE")=1,O76*N76,0)</f>
        <v>1</v>
      </c>
      <c r="Q76" s="163"/>
      <c r="R76" s="163"/>
      <c r="S76" s="163"/>
      <c r="T76" s="163"/>
      <c r="U76" s="5"/>
      <c r="V76" s="5"/>
      <c r="W76" s="5"/>
      <c r="X76" s="5"/>
    </row>
    <row r="77" customFormat="false" ht="15.75" hidden="false" customHeight="false" outlineLevel="0" collapsed="false">
      <c r="A77" s="5"/>
      <c r="B77" s="41"/>
      <c r="C77" s="143"/>
      <c r="D77" s="43"/>
      <c r="E77" s="42"/>
      <c r="F77" s="141" t="s">
        <v>72</v>
      </c>
      <c r="G77" s="166"/>
      <c r="H77" s="166" t="s">
        <v>116</v>
      </c>
      <c r="I77" s="167"/>
      <c r="J77" s="167"/>
      <c r="K77" s="167"/>
      <c r="L77" s="167"/>
      <c r="M77" s="168" t="s">
        <v>52</v>
      </c>
      <c r="N77" s="169" t="n">
        <v>1</v>
      </c>
      <c r="O77" s="169" t="n">
        <f aca="false">IF(M77="Yes",1,0)</f>
        <v>0</v>
      </c>
      <c r="P77" s="170" t="n">
        <f aca="false">IF(SUMIFS($P73:$P76,$F73:$F76,"ADVANCED")=1,O77*N77,0)</f>
        <v>0</v>
      </c>
      <c r="Q77" s="171"/>
      <c r="R77" s="171"/>
      <c r="S77" s="171"/>
      <c r="T77" s="171"/>
      <c r="U77" s="5"/>
      <c r="V77" s="5"/>
      <c r="W77" s="5"/>
      <c r="X77" s="5"/>
    </row>
    <row r="78" customFormat="false" ht="5.25" hidden="false" customHeight="true" outlineLevel="0" collapsed="false">
      <c r="A78" s="5"/>
      <c r="B78" s="41"/>
      <c r="C78" s="143"/>
      <c r="D78" s="172"/>
      <c r="E78" s="173"/>
      <c r="F78" s="174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5"/>
      <c r="V78" s="5"/>
      <c r="W78" s="5"/>
      <c r="X78" s="5"/>
    </row>
    <row r="79" customFormat="false" ht="15.75" hidden="false" customHeight="false" outlineLevel="0" collapsed="false">
      <c r="A79" s="5"/>
      <c r="B79" s="41"/>
      <c r="C79" s="143"/>
      <c r="D79" s="43" t="s">
        <v>117</v>
      </c>
      <c r="E79" s="42"/>
      <c r="F79" s="45" t="s">
        <v>50</v>
      </c>
      <c r="G79" s="175"/>
      <c r="H79" s="176" t="s">
        <v>118</v>
      </c>
      <c r="I79" s="176"/>
      <c r="J79" s="176"/>
      <c r="K79" s="176"/>
      <c r="L79" s="176"/>
      <c r="M79" s="146" t="s">
        <v>52</v>
      </c>
      <c r="N79" s="177" t="n">
        <v>1</v>
      </c>
      <c r="O79" s="177" t="n">
        <f aca="false">IF(M79="No",1,0)</f>
        <v>1</v>
      </c>
      <c r="P79" s="148" t="n">
        <f aca="false">O79*N79</f>
        <v>1</v>
      </c>
      <c r="Q79" s="178"/>
      <c r="R79" s="178"/>
      <c r="S79" s="178"/>
      <c r="T79" s="178"/>
      <c r="U79" s="5"/>
      <c r="V79" s="5"/>
      <c r="W79" s="5"/>
      <c r="X79" s="5"/>
    </row>
    <row r="80" customFormat="false" ht="15.75" hidden="false" customHeight="false" outlineLevel="0" collapsed="false">
      <c r="A80" s="5"/>
      <c r="B80" s="41"/>
      <c r="C80" s="143"/>
      <c r="D80" s="43"/>
      <c r="E80" s="42"/>
      <c r="F80" s="149" t="s">
        <v>56</v>
      </c>
      <c r="G80" s="150"/>
      <c r="H80" s="151" t="s">
        <v>119</v>
      </c>
      <c r="I80" s="151"/>
      <c r="J80" s="151"/>
      <c r="K80" s="151"/>
      <c r="L80" s="151"/>
      <c r="M80" s="152" t="s">
        <v>58</v>
      </c>
      <c r="N80" s="153" t="n">
        <v>1</v>
      </c>
      <c r="O80" s="153" t="n">
        <f aca="false">IF(M80="Yes",1,0)</f>
        <v>1</v>
      </c>
      <c r="P80" s="154" t="n">
        <f aca="false">IF(SUMIFS($P79,$F79,"POOR")=1,O80*N80,0)</f>
        <v>1</v>
      </c>
      <c r="Q80" s="152"/>
      <c r="R80" s="152"/>
      <c r="S80" s="152"/>
      <c r="T80" s="152"/>
      <c r="U80" s="5"/>
      <c r="V80" s="5"/>
      <c r="W80" s="5"/>
      <c r="X80" s="5"/>
    </row>
    <row r="81" customFormat="false" ht="15.75" hidden="false" customHeight="false" outlineLevel="0" collapsed="false">
      <c r="A81" s="5"/>
      <c r="B81" s="41"/>
      <c r="C81" s="143"/>
      <c r="D81" s="43"/>
      <c r="E81" s="42"/>
      <c r="F81" s="68" t="s">
        <v>61</v>
      </c>
      <c r="G81" s="155"/>
      <c r="H81" s="156" t="s">
        <v>120</v>
      </c>
      <c r="I81" s="156"/>
      <c r="J81" s="156"/>
      <c r="K81" s="156"/>
      <c r="L81" s="156"/>
      <c r="M81" s="157" t="s">
        <v>58</v>
      </c>
      <c r="N81" s="158" t="n">
        <v>1</v>
      </c>
      <c r="O81" s="158" t="n">
        <f aca="false">IF(M81="Yes",1,0)</f>
        <v>1</v>
      </c>
      <c r="P81" s="159" t="n">
        <f aca="false">IF(SUMIFS($P79:$P80,$F79:$F80,"BASIC")=1,O81*N81,0)</f>
        <v>1</v>
      </c>
      <c r="Q81" s="160"/>
      <c r="R81" s="160"/>
      <c r="S81" s="160"/>
      <c r="T81" s="160"/>
      <c r="U81" s="5"/>
      <c r="V81" s="5"/>
      <c r="W81" s="5"/>
      <c r="X81" s="5"/>
    </row>
    <row r="82" customFormat="false" ht="15.75" hidden="false" customHeight="false" outlineLevel="0" collapsed="false">
      <c r="A82" s="5"/>
      <c r="B82" s="41"/>
      <c r="C82" s="143"/>
      <c r="D82" s="43"/>
      <c r="E82" s="42"/>
      <c r="F82" s="161" t="s">
        <v>67</v>
      </c>
      <c r="G82" s="162"/>
      <c r="H82" s="179" t="s">
        <v>121</v>
      </c>
      <c r="I82" s="179"/>
      <c r="J82" s="179"/>
      <c r="K82" s="179"/>
      <c r="L82" s="179"/>
      <c r="M82" s="163" t="s">
        <v>58</v>
      </c>
      <c r="N82" s="180" t="n">
        <v>1</v>
      </c>
      <c r="O82" s="180" t="n">
        <f aca="false">IF(M82="Yes",1,0)</f>
        <v>1</v>
      </c>
      <c r="P82" s="165" t="n">
        <f aca="false">IF(SUMIFS($P79:$P81,$F79:$F81,"INTERMEDIATE")=1,O82*N82,0)</f>
        <v>1</v>
      </c>
      <c r="Q82" s="181"/>
      <c r="R82" s="181"/>
      <c r="S82" s="181"/>
      <c r="T82" s="181"/>
      <c r="U82" s="5"/>
      <c r="V82" s="5"/>
      <c r="W82" s="5"/>
      <c r="X82" s="5"/>
    </row>
    <row r="83" customFormat="false" ht="15.75" hidden="false" customHeight="false" outlineLevel="0" collapsed="false">
      <c r="A83" s="5"/>
      <c r="B83" s="41"/>
      <c r="C83" s="143"/>
      <c r="D83" s="43"/>
      <c r="E83" s="42"/>
      <c r="F83" s="141" t="s">
        <v>72</v>
      </c>
      <c r="G83" s="166"/>
      <c r="H83" s="166" t="s">
        <v>122</v>
      </c>
      <c r="I83" s="166"/>
      <c r="J83" s="166"/>
      <c r="K83" s="166"/>
      <c r="L83" s="166"/>
      <c r="M83" s="168" t="s">
        <v>52</v>
      </c>
      <c r="N83" s="182" t="n">
        <v>1</v>
      </c>
      <c r="O83" s="182" t="n">
        <f aca="false">IF(M83="Yes",1,0)</f>
        <v>0</v>
      </c>
      <c r="P83" s="170" t="n">
        <f aca="false">IF(SUMIFS($P79:$P82,$F79:$F82,"ADVANCED")=1,O83*N83,0)</f>
        <v>0</v>
      </c>
      <c r="Q83" s="168"/>
      <c r="R83" s="168"/>
      <c r="S83" s="168"/>
      <c r="T83" s="168"/>
      <c r="U83" s="5"/>
      <c r="V83" s="5"/>
      <c r="W83" s="5"/>
      <c r="X83" s="5"/>
    </row>
    <row r="84" customFormat="false" ht="5.25" hidden="false" customHeight="true" outlineLevel="0" collapsed="false">
      <c r="A84" s="5"/>
      <c r="B84" s="41"/>
      <c r="C84" s="143"/>
      <c r="D84" s="172"/>
      <c r="E84" s="173"/>
      <c r="F84" s="174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5"/>
      <c r="V84" s="5"/>
      <c r="W84" s="5"/>
      <c r="X84" s="5"/>
    </row>
    <row r="85" customFormat="false" ht="15.75" hidden="false" customHeight="false" outlineLevel="0" collapsed="false">
      <c r="A85" s="5"/>
      <c r="B85" s="41"/>
      <c r="C85" s="143"/>
      <c r="D85" s="43" t="s">
        <v>123</v>
      </c>
      <c r="E85" s="42"/>
      <c r="F85" s="45" t="s">
        <v>50</v>
      </c>
      <c r="G85" s="175"/>
      <c r="H85" s="176" t="s">
        <v>124</v>
      </c>
      <c r="I85" s="176"/>
      <c r="J85" s="176"/>
      <c r="K85" s="176"/>
      <c r="L85" s="176"/>
      <c r="M85" s="146" t="s">
        <v>52</v>
      </c>
      <c r="N85" s="177" t="n">
        <v>1</v>
      </c>
      <c r="O85" s="177" t="n">
        <f aca="false">IF(M85="No",1,0)</f>
        <v>1</v>
      </c>
      <c r="P85" s="148" t="n">
        <f aca="false">O85*N85</f>
        <v>1</v>
      </c>
      <c r="Q85" s="178"/>
      <c r="R85" s="178"/>
      <c r="S85" s="178"/>
      <c r="T85" s="178"/>
      <c r="U85" s="5"/>
      <c r="V85" s="5"/>
      <c r="W85" s="5"/>
      <c r="X85" s="5"/>
    </row>
    <row r="86" customFormat="false" ht="15.75" hidden="false" customHeight="false" outlineLevel="0" collapsed="false">
      <c r="A86" s="5"/>
      <c r="B86" s="41"/>
      <c r="C86" s="143"/>
      <c r="D86" s="43"/>
      <c r="E86" s="42"/>
      <c r="F86" s="149" t="s">
        <v>56</v>
      </c>
      <c r="G86" s="150"/>
      <c r="H86" s="151" t="s">
        <v>125</v>
      </c>
      <c r="I86" s="151"/>
      <c r="J86" s="151"/>
      <c r="K86" s="151"/>
      <c r="L86" s="151"/>
      <c r="M86" s="152" t="s">
        <v>58</v>
      </c>
      <c r="N86" s="153" t="n">
        <v>1</v>
      </c>
      <c r="O86" s="153" t="n">
        <f aca="false">IF(M86="Yes",1,0)</f>
        <v>1</v>
      </c>
      <c r="P86" s="154" t="n">
        <f aca="false">IF(SUMIFS($P85,$F85,"POOR")=1,O86*N86,0)</f>
        <v>1</v>
      </c>
      <c r="Q86" s="152"/>
      <c r="R86" s="152"/>
      <c r="S86" s="152"/>
      <c r="T86" s="152"/>
      <c r="U86" s="5"/>
      <c r="V86" s="5"/>
      <c r="W86" s="5"/>
      <c r="X86" s="5"/>
    </row>
    <row r="87" customFormat="false" ht="15.75" hidden="false" customHeight="false" outlineLevel="0" collapsed="false">
      <c r="A87" s="5"/>
      <c r="B87" s="41"/>
      <c r="C87" s="143"/>
      <c r="D87" s="43"/>
      <c r="E87" s="42"/>
      <c r="F87" s="68" t="s">
        <v>61</v>
      </c>
      <c r="G87" s="155"/>
      <c r="H87" s="156" t="s">
        <v>126</v>
      </c>
      <c r="I87" s="156"/>
      <c r="J87" s="156"/>
      <c r="K87" s="156"/>
      <c r="L87" s="156"/>
      <c r="M87" s="157" t="s">
        <v>58</v>
      </c>
      <c r="N87" s="158" t="n">
        <v>1</v>
      </c>
      <c r="O87" s="158" t="n">
        <f aca="false">IF(M87="Yes",1,0)</f>
        <v>1</v>
      </c>
      <c r="P87" s="159" t="n">
        <f aca="false">IF(SUMIFS($P85:$P86,$F85:$F86,"BASIC")=1,O87*N87,0)</f>
        <v>1</v>
      </c>
      <c r="Q87" s="160"/>
      <c r="R87" s="160"/>
      <c r="S87" s="160"/>
      <c r="T87" s="160"/>
      <c r="U87" s="5"/>
      <c r="V87" s="5"/>
      <c r="W87" s="5"/>
      <c r="X87" s="5"/>
    </row>
    <row r="88" customFormat="false" ht="15.75" hidden="false" customHeight="false" outlineLevel="0" collapsed="false">
      <c r="A88" s="5"/>
      <c r="B88" s="41"/>
      <c r="C88" s="143"/>
      <c r="D88" s="43"/>
      <c r="E88" s="42"/>
      <c r="F88" s="161" t="s">
        <v>67</v>
      </c>
      <c r="G88" s="162"/>
      <c r="H88" s="162" t="s">
        <v>127</v>
      </c>
      <c r="I88" s="162"/>
      <c r="J88" s="162"/>
      <c r="K88" s="162"/>
      <c r="L88" s="162"/>
      <c r="M88" s="163" t="s">
        <v>58</v>
      </c>
      <c r="N88" s="164" t="n">
        <v>1</v>
      </c>
      <c r="O88" s="164" t="n">
        <f aca="false">IF(M88="Yes",1,0)</f>
        <v>1</v>
      </c>
      <c r="P88" s="165" t="n">
        <f aca="false">IF(SUMIFS($P85:$P87,$F85:$F87,"INTERMEDIATE")=1,O88*N88,0)</f>
        <v>1</v>
      </c>
      <c r="Q88" s="163"/>
      <c r="R88" s="163"/>
      <c r="S88" s="163"/>
      <c r="T88" s="163"/>
      <c r="U88" s="5"/>
      <c r="V88" s="5"/>
      <c r="W88" s="5"/>
      <c r="X88" s="5"/>
    </row>
    <row r="89" customFormat="false" ht="15.75" hidden="false" customHeight="false" outlineLevel="0" collapsed="false">
      <c r="A89" s="5"/>
      <c r="B89" s="41"/>
      <c r="C89" s="143"/>
      <c r="D89" s="43"/>
      <c r="E89" s="42"/>
      <c r="F89" s="141" t="s">
        <v>72</v>
      </c>
      <c r="G89" s="166"/>
      <c r="H89" s="166" t="s">
        <v>128</v>
      </c>
      <c r="I89" s="166"/>
      <c r="J89" s="166"/>
      <c r="K89" s="166"/>
      <c r="L89" s="166"/>
      <c r="M89" s="168" t="s">
        <v>52</v>
      </c>
      <c r="N89" s="182" t="n">
        <v>1</v>
      </c>
      <c r="O89" s="182" t="n">
        <f aca="false">IF(M89="Yes",1,0)</f>
        <v>0</v>
      </c>
      <c r="P89" s="170" t="n">
        <f aca="false">IF(SUMIFS($P85:$P88,$F85:$F88,"ADVANCED")=1,O89*N89,0)</f>
        <v>0</v>
      </c>
      <c r="Q89" s="168"/>
      <c r="R89" s="168"/>
      <c r="S89" s="168"/>
      <c r="T89" s="168"/>
      <c r="U89" s="5"/>
      <c r="V89" s="6" t="s">
        <v>77</v>
      </c>
      <c r="W89" s="97" t="str">
        <f aca="false" t="array" ref="W89:W89">INDEX(Parameters!B5:B9,MATCH(SUM(P73:P77)*SUM(P79:P83,P85:P89),Parameters!E5:E9,1))</f>
        <v>Advanced</v>
      </c>
      <c r="X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customFormat="false" ht="15.75" hidden="false" customHeight="true" outlineLevel="0" collapsed="false">
      <c r="A92" s="5"/>
      <c r="B92" s="41" t="s">
        <v>35</v>
      </c>
      <c r="C92" s="143"/>
      <c r="D92" s="43" t="s">
        <v>36</v>
      </c>
      <c r="E92" s="42"/>
      <c r="F92" s="45" t="s">
        <v>50</v>
      </c>
      <c r="G92" s="46"/>
      <c r="H92" s="46" t="s">
        <v>129</v>
      </c>
      <c r="I92" s="46"/>
      <c r="J92" s="46"/>
      <c r="K92" s="46"/>
      <c r="L92" s="47"/>
      <c r="M92" s="14" t="s">
        <v>52</v>
      </c>
      <c r="N92" s="100" t="n">
        <f aca="false">1/COUNTA(H92)</f>
        <v>1</v>
      </c>
      <c r="O92" s="100" t="n">
        <f aca="false">IF(M92="No",1,0)</f>
        <v>1</v>
      </c>
      <c r="P92" s="100" t="n">
        <f aca="false">O92*N92</f>
        <v>1</v>
      </c>
      <c r="Q92" s="14"/>
      <c r="R92" s="14"/>
      <c r="S92" s="14"/>
      <c r="T92" s="14"/>
      <c r="U92" s="5"/>
      <c r="V92" s="5"/>
      <c r="W92" s="5"/>
      <c r="X92" s="5"/>
    </row>
    <row r="93" customFormat="false" ht="15.75" hidden="false" customHeight="false" outlineLevel="0" collapsed="false">
      <c r="A93" s="5"/>
      <c r="B93" s="41"/>
      <c r="C93" s="143"/>
      <c r="D93" s="43"/>
      <c r="E93" s="42"/>
      <c r="F93" s="183" t="s">
        <v>56</v>
      </c>
      <c r="G93" s="184"/>
      <c r="H93" s="184" t="s">
        <v>130</v>
      </c>
      <c r="I93" s="184"/>
      <c r="J93" s="184"/>
      <c r="K93" s="184"/>
      <c r="L93" s="185"/>
      <c r="M93" s="186" t="s">
        <v>58</v>
      </c>
      <c r="N93" s="187" t="n">
        <f aca="false">1/COUNTA($H93:$H94)</f>
        <v>0.5</v>
      </c>
      <c r="O93" s="187" t="n">
        <f aca="false">IF(M93="Yes",1,0)</f>
        <v>1</v>
      </c>
      <c r="P93" s="187" t="n">
        <f aca="false">IF(SUMIFS($P$92:$P92,$F$92:$F92,"POOR")=1,O93*N93,0)</f>
        <v>0.5</v>
      </c>
      <c r="Q93" s="186"/>
      <c r="R93" s="186"/>
      <c r="S93" s="186"/>
      <c r="T93" s="186"/>
      <c r="U93" s="5"/>
      <c r="V93" s="5"/>
      <c r="W93" s="5"/>
      <c r="X93" s="5"/>
    </row>
    <row r="94" customFormat="false" ht="15.75" hidden="false" customHeight="false" outlineLevel="0" collapsed="false">
      <c r="A94" s="5"/>
      <c r="B94" s="41"/>
      <c r="C94" s="143"/>
      <c r="D94" s="43"/>
      <c r="E94" s="42"/>
      <c r="F94" s="135" t="s">
        <v>56</v>
      </c>
      <c r="G94" s="65"/>
      <c r="H94" s="65" t="s">
        <v>131</v>
      </c>
      <c r="I94" s="65"/>
      <c r="J94" s="65"/>
      <c r="K94" s="65"/>
      <c r="L94" s="66"/>
      <c r="M94" s="57" t="s">
        <v>58</v>
      </c>
      <c r="N94" s="111" t="n">
        <f aca="false">N93</f>
        <v>0.5</v>
      </c>
      <c r="O94" s="111" t="n">
        <f aca="false">IF(M94="Yes",1,0)</f>
        <v>1</v>
      </c>
      <c r="P94" s="111" t="n">
        <f aca="false">IF(SUMIFS($P$92:$P93,$F$92:$F93,"POOR")=1,O94*N94,0)</f>
        <v>0.5</v>
      </c>
      <c r="Q94" s="57"/>
      <c r="R94" s="57"/>
      <c r="S94" s="57"/>
      <c r="T94" s="57"/>
      <c r="U94" s="5"/>
      <c r="V94" s="5"/>
      <c r="W94" s="5"/>
      <c r="X94" s="5"/>
    </row>
    <row r="95" customFormat="false" ht="15.75" hidden="false" customHeight="false" outlineLevel="0" collapsed="false">
      <c r="A95" s="5"/>
      <c r="B95" s="41"/>
      <c r="C95" s="143"/>
      <c r="D95" s="43"/>
      <c r="E95" s="42"/>
      <c r="F95" s="68" t="s">
        <v>61</v>
      </c>
      <c r="G95" s="69"/>
      <c r="H95" s="69" t="s">
        <v>132</v>
      </c>
      <c r="I95" s="69"/>
      <c r="J95" s="69"/>
      <c r="K95" s="69"/>
      <c r="L95" s="70"/>
      <c r="M95" s="5" t="s">
        <v>58</v>
      </c>
      <c r="N95" s="114" t="n">
        <f aca="false">1/COUNTA($H95:$H96)</f>
        <v>0.5</v>
      </c>
      <c r="O95" s="114" t="n">
        <f aca="false">IF(M95="Yes",1,0)</f>
        <v>1</v>
      </c>
      <c r="P95" s="114" t="n">
        <f aca="false">IF(SUMIFS($P$92:$P94,$F$92:$F94,"BASIC")=1,O95*N95,0)</f>
        <v>0.5</v>
      </c>
      <c r="Q95" s="5"/>
      <c r="R95" s="5"/>
      <c r="S95" s="5"/>
      <c r="T95" s="5"/>
      <c r="U95" s="5"/>
      <c r="V95" s="5"/>
      <c r="W95" s="5"/>
      <c r="X95" s="5"/>
    </row>
    <row r="96" customFormat="false" ht="15.75" hidden="false" customHeight="false" outlineLevel="0" collapsed="false">
      <c r="A96" s="5"/>
      <c r="B96" s="41"/>
      <c r="C96" s="143"/>
      <c r="D96" s="43"/>
      <c r="E96" s="42"/>
      <c r="F96" s="188" t="s">
        <v>61</v>
      </c>
      <c r="G96" s="69"/>
      <c r="H96" s="69" t="s">
        <v>133</v>
      </c>
      <c r="I96" s="69"/>
      <c r="J96" s="69"/>
      <c r="K96" s="69"/>
      <c r="L96" s="70"/>
      <c r="M96" s="5" t="s">
        <v>58</v>
      </c>
      <c r="N96" s="114" t="n">
        <f aca="false">N95</f>
        <v>0.5</v>
      </c>
      <c r="O96" s="114" t="n">
        <f aca="false">IF(M96="Yes",1,0)</f>
        <v>1</v>
      </c>
      <c r="P96" s="114" t="n">
        <f aca="false">IF(SUMIFS($P$92:$P95,$F$92:$F95,"BASIC")=1,O96*N96,0)</f>
        <v>0.5</v>
      </c>
      <c r="Q96" s="26" t="s">
        <v>134</v>
      </c>
      <c r="R96" s="5"/>
      <c r="S96" s="5"/>
      <c r="T96" s="5"/>
      <c r="U96" s="5"/>
      <c r="V96" s="5"/>
      <c r="W96" s="5"/>
      <c r="X96" s="5"/>
    </row>
    <row r="97" customFormat="false" ht="15.75" hidden="false" customHeight="false" outlineLevel="0" collapsed="false">
      <c r="A97" s="5"/>
      <c r="B97" s="41"/>
      <c r="C97" s="143"/>
      <c r="D97" s="43"/>
      <c r="E97" s="42"/>
      <c r="F97" s="189" t="s">
        <v>67</v>
      </c>
      <c r="G97" s="190"/>
      <c r="H97" s="190" t="s">
        <v>135</v>
      </c>
      <c r="I97" s="190"/>
      <c r="J97" s="190"/>
      <c r="K97" s="190"/>
      <c r="L97" s="191"/>
      <c r="M97" s="186" t="s">
        <v>58</v>
      </c>
      <c r="N97" s="192" t="n">
        <f aca="false">1/COUNTA(H97:H98)</f>
        <v>0.5</v>
      </c>
      <c r="O97" s="192" t="n">
        <f aca="false">IF(M97="Yes",1,0)</f>
        <v>1</v>
      </c>
      <c r="P97" s="192" t="n">
        <f aca="false">IF(SUMIFS($P$92:$P96,$F$92:$F96,"INTERMEDIATE")=1,O97*N97,0)</f>
        <v>0.5</v>
      </c>
      <c r="Q97" s="186"/>
      <c r="R97" s="186"/>
      <c r="S97" s="186"/>
      <c r="T97" s="186"/>
      <c r="U97" s="5"/>
      <c r="V97" s="5"/>
      <c r="W97" s="5"/>
      <c r="X97" s="5"/>
    </row>
    <row r="98" customFormat="false" ht="15.75" hidden="false" customHeight="false" outlineLevel="0" collapsed="false">
      <c r="A98" s="5"/>
      <c r="B98" s="41"/>
      <c r="C98" s="143"/>
      <c r="D98" s="43"/>
      <c r="E98" s="42"/>
      <c r="F98" s="140" t="s">
        <v>67</v>
      </c>
      <c r="G98" s="84"/>
      <c r="H98" s="84" t="s">
        <v>136</v>
      </c>
      <c r="I98" s="84"/>
      <c r="J98" s="84"/>
      <c r="K98" s="84"/>
      <c r="L98" s="85"/>
      <c r="M98" s="57" t="s">
        <v>58</v>
      </c>
      <c r="N98" s="123" t="n">
        <f aca="false">N97</f>
        <v>0.5</v>
      </c>
      <c r="O98" s="123" t="n">
        <f aca="false">IF(M98="Yes",1,0)</f>
        <v>1</v>
      </c>
      <c r="P98" s="123" t="n">
        <f aca="false">IF(SUMIFS($P$92:$P97,$F$92:$F97,"INTERMEDIATE")=1,O98*N98,0)</f>
        <v>0.5</v>
      </c>
      <c r="Q98" s="57"/>
      <c r="R98" s="57"/>
      <c r="S98" s="57"/>
      <c r="T98" s="57"/>
      <c r="U98" s="5"/>
      <c r="V98" s="5"/>
      <c r="W98" s="5"/>
      <c r="X98" s="5"/>
    </row>
    <row r="99" customFormat="false" ht="15.75" hidden="false" customHeight="false" outlineLevel="0" collapsed="false">
      <c r="A99" s="5"/>
      <c r="B99" s="41"/>
      <c r="C99" s="143"/>
      <c r="D99" s="43"/>
      <c r="E99" s="42"/>
      <c r="F99" s="141" t="s">
        <v>72</v>
      </c>
      <c r="G99" s="93"/>
      <c r="H99" s="93" t="s">
        <v>137</v>
      </c>
      <c r="I99" s="93"/>
      <c r="J99" s="93"/>
      <c r="K99" s="93"/>
      <c r="L99" s="94"/>
      <c r="M99" s="95" t="s">
        <v>52</v>
      </c>
      <c r="N99" s="127" t="n">
        <f aca="false">1/COUNTA(H99)</f>
        <v>1</v>
      </c>
      <c r="O99" s="127" t="n">
        <f aca="false">IF(M99="Yes",1,0)</f>
        <v>0</v>
      </c>
      <c r="P99" s="127" t="n">
        <f aca="false">IF(SUMIFS($P$92:$P98,$F$92:$F98,"ADVANCED")=1,O99*N99,0)</f>
        <v>0</v>
      </c>
      <c r="Q99" s="95"/>
      <c r="R99" s="95"/>
      <c r="S99" s="95"/>
      <c r="T99" s="95"/>
      <c r="U99" s="5"/>
      <c r="V99" s="6" t="s">
        <v>77</v>
      </c>
      <c r="W99" s="97" t="str">
        <f aca="false" t="array" ref="W99:W99">IFERROR(INDEX(Parameters!$B$5:$B$9,MATCH(SUM($P$92:$P$99),Parameters!$C$5:$C$9,0)),INDEX(Parameters!$B$5:$B$9,MATCH(SUM($P$92:$P$99),Parameters!$C$5:$C$9,1)))</f>
        <v>Advanced</v>
      </c>
      <c r="X99" s="5"/>
    </row>
    <row r="100" customFormat="false" ht="4.5" hidden="false" customHeight="true" outlineLevel="0" collapsed="false">
      <c r="A100" s="5"/>
      <c r="B100" s="41"/>
      <c r="C100" s="143"/>
      <c r="D100" s="193"/>
      <c r="E100" s="6"/>
      <c r="F100" s="5"/>
      <c r="G100" s="26"/>
      <c r="H100" s="2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customFormat="false" ht="15.75" hidden="false" customHeight="true" outlineLevel="0" collapsed="false">
      <c r="A101" s="5"/>
      <c r="B101" s="41"/>
      <c r="C101" s="143"/>
      <c r="D101" s="194" t="s">
        <v>38</v>
      </c>
      <c r="E101" s="42"/>
      <c r="F101" s="129" t="s">
        <v>50</v>
      </c>
      <c r="G101" s="46"/>
      <c r="H101" s="99" t="s">
        <v>138</v>
      </c>
      <c r="I101" s="46"/>
      <c r="J101" s="46"/>
      <c r="K101" s="47"/>
      <c r="L101" s="47"/>
      <c r="M101" s="14" t="s">
        <v>52</v>
      </c>
      <c r="N101" s="100" t="n">
        <f aca="false">1/COUNTA(H101)</f>
        <v>1</v>
      </c>
      <c r="O101" s="100" t="n">
        <f aca="false">IF(M101="No",1,0)</f>
        <v>1</v>
      </c>
      <c r="P101" s="100" t="n">
        <f aca="false">O101*N101</f>
        <v>1</v>
      </c>
      <c r="Q101" s="14"/>
      <c r="R101" s="14"/>
      <c r="S101" s="14"/>
      <c r="T101" s="14"/>
      <c r="U101" s="5"/>
      <c r="V101" s="5"/>
      <c r="W101" s="5"/>
      <c r="X101" s="5"/>
    </row>
    <row r="102" customFormat="false" ht="15.75" hidden="false" customHeight="false" outlineLevel="0" collapsed="false">
      <c r="A102" s="5"/>
      <c r="B102" s="41"/>
      <c r="C102" s="143"/>
      <c r="D102" s="194"/>
      <c r="E102" s="42"/>
      <c r="F102" s="195" t="s">
        <v>56</v>
      </c>
      <c r="G102" s="184"/>
      <c r="H102" s="196" t="s">
        <v>139</v>
      </c>
      <c r="I102" s="184"/>
      <c r="J102" s="184"/>
      <c r="K102" s="185"/>
      <c r="L102" s="185"/>
      <c r="M102" s="186" t="s">
        <v>58</v>
      </c>
      <c r="N102" s="187" t="n">
        <f aca="false">1/COUNTA($H102:$H104)</f>
        <v>0.333333333333333</v>
      </c>
      <c r="O102" s="187" t="n">
        <f aca="false">IF(M102="Yes",1,0)</f>
        <v>1</v>
      </c>
      <c r="P102" s="187" t="n">
        <f aca="false">IF(SUMIFS($P$101:$P101,$F$101:$F101,"POOR")=1,O102*N102,0)</f>
        <v>0.333333333333333</v>
      </c>
      <c r="Q102" s="186"/>
      <c r="R102" s="186"/>
      <c r="S102" s="186"/>
      <c r="T102" s="186"/>
      <c r="U102" s="5"/>
      <c r="V102" s="5"/>
      <c r="W102" s="104"/>
      <c r="X102" s="5"/>
    </row>
    <row r="103" customFormat="false" ht="15.75" hidden="false" customHeight="false" outlineLevel="0" collapsed="false">
      <c r="A103" s="5"/>
      <c r="B103" s="41"/>
      <c r="C103" s="143"/>
      <c r="D103" s="194"/>
      <c r="E103" s="42"/>
      <c r="F103" s="197" t="s">
        <v>56</v>
      </c>
      <c r="G103" s="60"/>
      <c r="H103" s="108" t="s">
        <v>140</v>
      </c>
      <c r="I103" s="60"/>
      <c r="J103" s="60"/>
      <c r="K103" s="61"/>
      <c r="L103" s="61"/>
      <c r="M103" s="5" t="s">
        <v>58</v>
      </c>
      <c r="N103" s="109" t="n">
        <f aca="false">N102</f>
        <v>0.333333333333333</v>
      </c>
      <c r="O103" s="109" t="n">
        <f aca="false">IF(M103="Yes",1,0)</f>
        <v>1</v>
      </c>
      <c r="P103" s="109" t="n">
        <f aca="false">IF(SUMIFS($P$101:$P102,$F$101:$F102,"POOR")=1,O103*N103,0)</f>
        <v>0.333333333333333</v>
      </c>
      <c r="Q103" s="5"/>
      <c r="R103" s="5"/>
      <c r="S103" s="5"/>
      <c r="T103" s="5"/>
      <c r="U103" s="5"/>
      <c r="V103" s="5"/>
      <c r="W103" s="104"/>
      <c r="X103" s="5"/>
    </row>
    <row r="104" customFormat="false" ht="15.75" hidden="false" customHeight="false" outlineLevel="0" collapsed="false">
      <c r="A104" s="5"/>
      <c r="B104" s="41"/>
      <c r="C104" s="143"/>
      <c r="D104" s="194"/>
      <c r="E104" s="42"/>
      <c r="F104" s="135" t="s">
        <v>56</v>
      </c>
      <c r="G104" s="65"/>
      <c r="H104" s="198" t="s">
        <v>141</v>
      </c>
      <c r="I104" s="65"/>
      <c r="J104" s="65"/>
      <c r="K104" s="66"/>
      <c r="L104" s="66"/>
      <c r="M104" s="57" t="s">
        <v>58</v>
      </c>
      <c r="N104" s="111" t="n">
        <f aca="false">N103</f>
        <v>0.333333333333333</v>
      </c>
      <c r="O104" s="111" t="n">
        <f aca="false">IF(M104="Yes",1,0)</f>
        <v>1</v>
      </c>
      <c r="P104" s="111" t="n">
        <f aca="false">IF(SUMIFS($P$101:$P103,$F$101:$F103,"POOR")=1,O104*N104,0)</f>
        <v>0.333333333333333</v>
      </c>
      <c r="Q104" s="57"/>
      <c r="R104" s="57"/>
      <c r="S104" s="57"/>
      <c r="T104" s="57"/>
      <c r="U104" s="5"/>
      <c r="V104" s="5"/>
      <c r="W104" s="104"/>
      <c r="X104" s="5"/>
    </row>
    <row r="105" customFormat="false" ht="15.75" hidden="false" customHeight="false" outlineLevel="0" collapsed="false">
      <c r="A105" s="5"/>
      <c r="B105" s="41"/>
      <c r="C105" s="143"/>
      <c r="D105" s="194"/>
      <c r="E105" s="42"/>
      <c r="F105" s="136" t="s">
        <v>61</v>
      </c>
      <c r="G105" s="69"/>
      <c r="H105" s="113" t="s">
        <v>142</v>
      </c>
      <c r="I105" s="69"/>
      <c r="J105" s="69"/>
      <c r="K105" s="70"/>
      <c r="L105" s="70"/>
      <c r="M105" s="5" t="s">
        <v>58</v>
      </c>
      <c r="N105" s="114" t="n">
        <f aca="false">1/COUNTA(H105:H107)</f>
        <v>0.333333333333333</v>
      </c>
      <c r="O105" s="114" t="n">
        <f aca="false">IF(M105="Yes",1,0)</f>
        <v>1</v>
      </c>
      <c r="P105" s="114" t="n">
        <f aca="false">IF(SUMIFS($P$101:$P104,$F$101:$F104,"BASIC")=1,O105*N105,0)</f>
        <v>0.333333333333333</v>
      </c>
      <c r="Q105" s="5"/>
      <c r="R105" s="5"/>
      <c r="S105" s="5"/>
      <c r="T105" s="5"/>
      <c r="U105" s="5"/>
      <c r="V105" s="5"/>
      <c r="W105" s="104"/>
      <c r="X105" s="5"/>
    </row>
    <row r="106" customFormat="false" ht="15.75" hidden="false" customHeight="false" outlineLevel="0" collapsed="false">
      <c r="A106" s="5"/>
      <c r="B106" s="41"/>
      <c r="C106" s="143"/>
      <c r="D106" s="194"/>
      <c r="E106" s="42"/>
      <c r="F106" s="188" t="s">
        <v>61</v>
      </c>
      <c r="G106" s="69"/>
      <c r="H106" s="113" t="s">
        <v>143</v>
      </c>
      <c r="I106" s="69"/>
      <c r="J106" s="69"/>
      <c r="K106" s="70"/>
      <c r="L106" s="70"/>
      <c r="M106" s="5" t="s">
        <v>58</v>
      </c>
      <c r="N106" s="114" t="n">
        <f aca="false">N105</f>
        <v>0.333333333333333</v>
      </c>
      <c r="O106" s="114" t="n">
        <f aca="false">IF(M106="Yes",1,0)</f>
        <v>1</v>
      </c>
      <c r="P106" s="114" t="n">
        <f aca="false">IF(SUMIFS($P$101:$P105,$F$101:$F105,"BASIC")=1,O106*N106,0)</f>
        <v>0.333333333333333</v>
      </c>
      <c r="Q106" s="5"/>
      <c r="R106" s="5"/>
      <c r="S106" s="5"/>
      <c r="T106" s="5"/>
      <c r="U106" s="5"/>
      <c r="V106" s="5"/>
      <c r="W106" s="104"/>
      <c r="X106" s="5"/>
    </row>
    <row r="107" customFormat="false" ht="15.75" hidden="false" customHeight="false" outlineLevel="0" collapsed="false">
      <c r="A107" s="5"/>
      <c r="B107" s="41"/>
      <c r="C107" s="143"/>
      <c r="D107" s="194"/>
      <c r="E107" s="42"/>
      <c r="F107" s="188" t="s">
        <v>61</v>
      </c>
      <c r="G107" s="69"/>
      <c r="H107" s="69" t="s">
        <v>144</v>
      </c>
      <c r="I107" s="69"/>
      <c r="J107" s="69"/>
      <c r="K107" s="70"/>
      <c r="L107" s="70"/>
      <c r="M107" s="5" t="s">
        <v>58</v>
      </c>
      <c r="N107" s="114" t="n">
        <f aca="false">N106</f>
        <v>0.333333333333333</v>
      </c>
      <c r="O107" s="114" t="n">
        <f aca="false">IF(M107="Yes",1,0)</f>
        <v>1</v>
      </c>
      <c r="P107" s="114" t="n">
        <f aca="false">IF(SUMIFS($P$101:$P106,$F$101:$F106,"BASIC")=1,O107*N107,0)</f>
        <v>0.333333333333333</v>
      </c>
      <c r="Q107" s="57"/>
      <c r="R107" s="57"/>
      <c r="S107" s="57"/>
      <c r="T107" s="57"/>
      <c r="U107" s="5"/>
      <c r="V107" s="5"/>
      <c r="W107" s="104"/>
      <c r="X107" s="5"/>
    </row>
    <row r="108" customFormat="false" ht="15.75" hidden="false" customHeight="false" outlineLevel="0" collapsed="false">
      <c r="A108" s="5"/>
      <c r="B108" s="41"/>
      <c r="C108" s="143"/>
      <c r="D108" s="194"/>
      <c r="E108" s="42"/>
      <c r="F108" s="199" t="s">
        <v>67</v>
      </c>
      <c r="G108" s="190"/>
      <c r="H108" s="200" t="s">
        <v>145</v>
      </c>
      <c r="I108" s="190"/>
      <c r="J108" s="190"/>
      <c r="K108" s="191"/>
      <c r="L108" s="191"/>
      <c r="M108" s="186" t="s">
        <v>52</v>
      </c>
      <c r="N108" s="192" t="n">
        <f aca="false">1/COUNTA(H108:H110)</f>
        <v>0.333333333333333</v>
      </c>
      <c r="O108" s="192" t="n">
        <f aca="false">IF(M108="Yes",1,0)</f>
        <v>0</v>
      </c>
      <c r="P108" s="192" t="n">
        <f aca="false">IF(SUMIFS($P$101:$P107,$F$101:$F107,"INTERMEDIATE")=1,O108*N108,0)</f>
        <v>0</v>
      </c>
      <c r="Q108" s="186"/>
      <c r="R108" s="186"/>
      <c r="S108" s="186"/>
      <c r="T108" s="186"/>
      <c r="U108" s="5"/>
      <c r="V108" s="5"/>
      <c r="W108" s="5"/>
      <c r="X108" s="5"/>
    </row>
    <row r="109" customFormat="false" ht="15.75" hidden="false" customHeight="false" outlineLevel="0" collapsed="false">
      <c r="A109" s="5"/>
      <c r="B109" s="41"/>
      <c r="C109" s="143"/>
      <c r="D109" s="194"/>
      <c r="E109" s="42"/>
      <c r="F109" s="201" t="s">
        <v>67</v>
      </c>
      <c r="G109" s="79"/>
      <c r="H109" s="119" t="s">
        <v>146</v>
      </c>
      <c r="I109" s="79"/>
      <c r="J109" s="79"/>
      <c r="K109" s="80"/>
      <c r="L109" s="80"/>
      <c r="M109" s="5" t="s">
        <v>52</v>
      </c>
      <c r="N109" s="120" t="n">
        <f aca="false">N108</f>
        <v>0.333333333333333</v>
      </c>
      <c r="O109" s="120" t="n">
        <f aca="false">IF(M109="Yes",1,0)</f>
        <v>0</v>
      </c>
      <c r="P109" s="120" t="n">
        <f aca="false">IF(SUMIFS($P$101:$P108,$F$101:$F108,"INTERMEDIATE")=1,O109*N109,0)</f>
        <v>0</v>
      </c>
      <c r="Q109" s="5"/>
      <c r="R109" s="5"/>
      <c r="S109" s="5"/>
      <c r="T109" s="5"/>
      <c r="U109" s="5"/>
      <c r="V109" s="5"/>
      <c r="W109" s="5"/>
      <c r="X109" s="5"/>
    </row>
    <row r="110" customFormat="false" ht="15.75" hidden="false" customHeight="false" outlineLevel="0" collapsed="false">
      <c r="A110" s="5"/>
      <c r="B110" s="41"/>
      <c r="C110" s="143"/>
      <c r="D110" s="194"/>
      <c r="E110" s="42"/>
      <c r="F110" s="140" t="s">
        <v>67</v>
      </c>
      <c r="G110" s="84"/>
      <c r="H110" s="122" t="s">
        <v>147</v>
      </c>
      <c r="I110" s="84"/>
      <c r="J110" s="84"/>
      <c r="K110" s="85"/>
      <c r="L110" s="85"/>
      <c r="M110" s="57" t="s">
        <v>52</v>
      </c>
      <c r="N110" s="123" t="n">
        <f aca="false">N109</f>
        <v>0.333333333333333</v>
      </c>
      <c r="O110" s="123" t="n">
        <f aca="false">IF(M110="Yes",1,0)</f>
        <v>0</v>
      </c>
      <c r="P110" s="123" t="n">
        <f aca="false">IF(SUMIFS($P$101:$P109,$F$101:$F109,"INTERMEDIATE")=1,O110*N110,0)</f>
        <v>0</v>
      </c>
      <c r="Q110" s="57"/>
      <c r="R110" s="57"/>
      <c r="S110" s="57"/>
      <c r="T110" s="57"/>
      <c r="U110" s="5"/>
      <c r="V110" s="5"/>
      <c r="W110" s="5"/>
      <c r="X110" s="5"/>
    </row>
    <row r="111" customFormat="false" ht="15.75" hidden="false" customHeight="false" outlineLevel="0" collapsed="false">
      <c r="A111" s="5"/>
      <c r="B111" s="41"/>
      <c r="C111" s="143"/>
      <c r="D111" s="194"/>
      <c r="E111" s="42"/>
      <c r="F111" s="202" t="s">
        <v>72</v>
      </c>
      <c r="G111" s="88"/>
      <c r="H111" s="88" t="s">
        <v>148</v>
      </c>
      <c r="I111" s="88"/>
      <c r="J111" s="88"/>
      <c r="K111" s="89"/>
      <c r="L111" s="89"/>
      <c r="M111" s="5" t="s">
        <v>52</v>
      </c>
      <c r="N111" s="125" t="n">
        <f aca="false">1/COUNTA(H111:H112)</f>
        <v>0.5</v>
      </c>
      <c r="O111" s="125" t="n">
        <f aca="false">IF(M111="Yes",1,0)</f>
        <v>0</v>
      </c>
      <c r="P111" s="125" t="n">
        <f aca="false">IF(SUMIFS($P$101:$P110,$F$101:$F110,"ADVANCED")=1,O111*N111,0)</f>
        <v>0</v>
      </c>
      <c r="Q111" s="5"/>
      <c r="R111" s="5"/>
      <c r="S111" s="5"/>
      <c r="T111" s="5"/>
      <c r="U111" s="5"/>
      <c r="V111" s="5"/>
      <c r="W111" s="5"/>
      <c r="X111" s="5"/>
    </row>
    <row r="112" customFormat="false" ht="15.75" hidden="false" customHeight="false" outlineLevel="0" collapsed="false">
      <c r="A112" s="5"/>
      <c r="B112" s="41"/>
      <c r="C112" s="143"/>
      <c r="D112" s="194"/>
      <c r="E112" s="42"/>
      <c r="F112" s="203" t="s">
        <v>74</v>
      </c>
      <c r="G112" s="93"/>
      <c r="H112" s="93" t="s">
        <v>149</v>
      </c>
      <c r="I112" s="93"/>
      <c r="J112" s="93"/>
      <c r="K112" s="94"/>
      <c r="L112" s="94"/>
      <c r="M112" s="95" t="s">
        <v>52</v>
      </c>
      <c r="N112" s="127" t="n">
        <f aca="false">N111</f>
        <v>0.5</v>
      </c>
      <c r="O112" s="127" t="n">
        <f aca="false">IF(M112="Yes",1,0)</f>
        <v>0</v>
      </c>
      <c r="P112" s="127" t="n">
        <f aca="false">IF(SUMIFS($P$101:$P111,$F$101:$F111,"ADVANCED")=1,O112*N112,0)</f>
        <v>0</v>
      </c>
      <c r="Q112" s="95"/>
      <c r="R112" s="95"/>
      <c r="S112" s="95"/>
      <c r="T112" s="95"/>
      <c r="U112" s="5"/>
      <c r="V112" s="6" t="s">
        <v>77</v>
      </c>
      <c r="W112" s="97" t="str">
        <f aca="false" t="array" ref="W112:W112">IFERROR(INDEX(Parameters!$B$5:$B$9,MATCH(SUM($P$101:$P$112),Parameters!$C$5:$C$9,0)),INDEX(Parameters!$B$5:$B$9,MATCH(SUM($P$101:$P$112),Parameters!$C$5:$C$9,1)))</f>
        <v>Intermediate</v>
      </c>
      <c r="X112" s="5"/>
    </row>
    <row r="113" customFormat="false" ht="5.25" hidden="false" customHeight="true" outlineLevel="0" collapsed="false">
      <c r="A113" s="5"/>
      <c r="B113" s="41"/>
      <c r="C113" s="143"/>
      <c r="D113" s="204"/>
      <c r="E113" s="5"/>
      <c r="F113" s="5"/>
      <c r="G113" s="26"/>
      <c r="H113" s="2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customFormat="false" ht="15.75" hidden="false" customHeight="false" outlineLevel="0" collapsed="false">
      <c r="A114" s="5"/>
      <c r="B114" s="41"/>
      <c r="C114" s="143"/>
      <c r="D114" s="205" t="s">
        <v>40</v>
      </c>
      <c r="E114" s="42"/>
      <c r="F114" s="129" t="s">
        <v>50</v>
      </c>
      <c r="G114" s="46"/>
      <c r="H114" s="46" t="s">
        <v>150</v>
      </c>
      <c r="I114" s="46"/>
      <c r="J114" s="46"/>
      <c r="K114" s="46"/>
      <c r="L114" s="46"/>
      <c r="M114" s="14" t="s">
        <v>52</v>
      </c>
      <c r="N114" s="100" t="n">
        <f aca="false">1/COUNTA(H114:H116)</f>
        <v>0.333333333333333</v>
      </c>
      <c r="O114" s="100" t="n">
        <f aca="false">IF(M114="No",1,0)</f>
        <v>1</v>
      </c>
      <c r="P114" s="100" t="n">
        <f aca="false">O114*N114</f>
        <v>0.333333333333333</v>
      </c>
      <c r="Q114" s="130"/>
      <c r="R114" s="130"/>
      <c r="S114" s="130"/>
      <c r="T114" s="130"/>
      <c r="U114" s="5"/>
      <c r="V114" s="5"/>
      <c r="W114" s="5"/>
      <c r="X114" s="5"/>
    </row>
    <row r="115" customFormat="false" ht="15.75" hidden="false" customHeight="false" outlineLevel="0" collapsed="false">
      <c r="A115" s="5"/>
      <c r="B115" s="41"/>
      <c r="C115" s="143"/>
      <c r="D115" s="205"/>
      <c r="E115" s="42"/>
      <c r="F115" s="131" t="s">
        <v>50</v>
      </c>
      <c r="G115" s="50"/>
      <c r="H115" s="50" t="s">
        <v>151</v>
      </c>
      <c r="I115" s="50"/>
      <c r="J115" s="50"/>
      <c r="K115" s="50"/>
      <c r="L115" s="50"/>
      <c r="M115" s="5" t="s">
        <v>52</v>
      </c>
      <c r="N115" s="103" t="n">
        <f aca="false">N114</f>
        <v>0.333333333333333</v>
      </c>
      <c r="O115" s="103" t="n">
        <f aca="false">IF(M115="No",1,0)</f>
        <v>1</v>
      </c>
      <c r="P115" s="103" t="n">
        <f aca="false">O115*N115</f>
        <v>0.333333333333333</v>
      </c>
      <c r="Q115" s="132"/>
      <c r="R115" s="132"/>
      <c r="S115" s="132"/>
      <c r="T115" s="132"/>
      <c r="U115" s="5"/>
      <c r="V115" s="5"/>
      <c r="W115" s="5"/>
      <c r="X115" s="5"/>
    </row>
    <row r="116" customFormat="false" ht="15.75" hidden="false" customHeight="false" outlineLevel="0" collapsed="false">
      <c r="A116" s="5"/>
      <c r="B116" s="41"/>
      <c r="C116" s="143"/>
      <c r="D116" s="205"/>
      <c r="E116" s="42"/>
      <c r="F116" s="131" t="s">
        <v>50</v>
      </c>
      <c r="G116" s="50"/>
      <c r="H116" s="50" t="s">
        <v>152</v>
      </c>
      <c r="I116" s="50"/>
      <c r="J116" s="50"/>
      <c r="K116" s="50"/>
      <c r="L116" s="50"/>
      <c r="M116" s="5" t="s">
        <v>52</v>
      </c>
      <c r="N116" s="103" t="n">
        <f aca="false">N115</f>
        <v>0.333333333333333</v>
      </c>
      <c r="O116" s="103" t="n">
        <f aca="false">IF(M116="No",1,0)</f>
        <v>1</v>
      </c>
      <c r="P116" s="103" t="n">
        <f aca="false">O116*N116</f>
        <v>0.333333333333333</v>
      </c>
      <c r="Q116" s="134"/>
      <c r="R116" s="134"/>
      <c r="S116" s="134"/>
      <c r="T116" s="134"/>
      <c r="U116" s="5"/>
      <c r="V116" s="5"/>
      <c r="W116" s="5"/>
      <c r="X116" s="5"/>
    </row>
    <row r="117" customFormat="false" ht="15.75" hidden="false" customHeight="false" outlineLevel="0" collapsed="false">
      <c r="A117" s="5"/>
      <c r="B117" s="41"/>
      <c r="C117" s="143"/>
      <c r="D117" s="205"/>
      <c r="E117" s="42"/>
      <c r="F117" s="195" t="s">
        <v>56</v>
      </c>
      <c r="G117" s="184"/>
      <c r="H117" s="184" t="s">
        <v>153</v>
      </c>
      <c r="I117" s="184"/>
      <c r="J117" s="184"/>
      <c r="K117" s="184"/>
      <c r="L117" s="184"/>
      <c r="M117" s="186" t="s">
        <v>58</v>
      </c>
      <c r="N117" s="187" t="n">
        <f aca="false">1/COUNTA(H117:H121)</f>
        <v>0.2</v>
      </c>
      <c r="O117" s="187" t="n">
        <f aca="false">IF(M117="Yes",1,0)</f>
        <v>1</v>
      </c>
      <c r="P117" s="187" t="n">
        <f aca="false">IF(SUMIFS($P$114:$P116,$F$114:$F116,"POOR")=1,O117*N117,0)</f>
        <v>0.2</v>
      </c>
      <c r="Q117" s="206"/>
      <c r="R117" s="206"/>
      <c r="S117" s="206"/>
      <c r="T117" s="206"/>
      <c r="U117" s="5"/>
      <c r="V117" s="5"/>
      <c r="W117" s="5"/>
      <c r="X117" s="5"/>
    </row>
    <row r="118" customFormat="false" ht="15.75" hidden="false" customHeight="false" outlineLevel="0" collapsed="false">
      <c r="A118" s="5"/>
      <c r="B118" s="41"/>
      <c r="C118" s="143"/>
      <c r="D118" s="205"/>
      <c r="E118" s="42"/>
      <c r="F118" s="197" t="s">
        <v>56</v>
      </c>
      <c r="G118" s="60"/>
      <c r="H118" s="60" t="s">
        <v>154</v>
      </c>
      <c r="I118" s="60"/>
      <c r="J118" s="60"/>
      <c r="K118" s="60"/>
      <c r="L118" s="60"/>
      <c r="M118" s="5" t="s">
        <v>58</v>
      </c>
      <c r="N118" s="109" t="n">
        <f aca="false">N117</f>
        <v>0.2</v>
      </c>
      <c r="O118" s="109" t="n">
        <f aca="false">IF(M118="Yes",1,0)</f>
        <v>1</v>
      </c>
      <c r="P118" s="109" t="n">
        <f aca="false">IF(SUMIFS($P$114:$P117,$F$114:$F117,"POOR")=1,O118*N118,0)</f>
        <v>0.2</v>
      </c>
      <c r="Q118" s="132"/>
      <c r="R118" s="132"/>
      <c r="S118" s="132"/>
      <c r="T118" s="132"/>
      <c r="U118" s="5"/>
      <c r="V118" s="5"/>
      <c r="W118" s="5"/>
      <c r="X118" s="5"/>
    </row>
    <row r="119" customFormat="false" ht="15.75" hidden="false" customHeight="false" outlineLevel="0" collapsed="false">
      <c r="A119" s="5"/>
      <c r="B119" s="41"/>
      <c r="C119" s="143"/>
      <c r="D119" s="205"/>
      <c r="E119" s="42"/>
      <c r="F119" s="197" t="s">
        <v>56</v>
      </c>
      <c r="G119" s="60"/>
      <c r="H119" s="60" t="s">
        <v>155</v>
      </c>
      <c r="I119" s="60"/>
      <c r="J119" s="60"/>
      <c r="K119" s="60"/>
      <c r="L119" s="60"/>
      <c r="M119" s="5" t="s">
        <v>58</v>
      </c>
      <c r="N119" s="109" t="n">
        <f aca="false">N118</f>
        <v>0.2</v>
      </c>
      <c r="O119" s="109" t="n">
        <f aca="false">IF(M119="Yes",1,0)</f>
        <v>1</v>
      </c>
      <c r="P119" s="109" t="n">
        <f aca="false">IF(SUMIFS($P$114:$P118,$F$114:$F118,"POOR")=1,O119*N119,0)</f>
        <v>0.2</v>
      </c>
      <c r="Q119" s="132"/>
      <c r="R119" s="132"/>
      <c r="S119" s="132"/>
      <c r="T119" s="132"/>
      <c r="U119" s="5"/>
      <c r="V119" s="5"/>
      <c r="W119" s="5"/>
      <c r="X119" s="5"/>
    </row>
    <row r="120" customFormat="false" ht="15.75" hidden="false" customHeight="false" outlineLevel="0" collapsed="false">
      <c r="A120" s="5"/>
      <c r="B120" s="41"/>
      <c r="C120" s="143"/>
      <c r="D120" s="205"/>
      <c r="E120" s="42"/>
      <c r="F120" s="197" t="s">
        <v>56</v>
      </c>
      <c r="G120" s="60"/>
      <c r="H120" s="60" t="s">
        <v>156</v>
      </c>
      <c r="I120" s="60"/>
      <c r="J120" s="60"/>
      <c r="K120" s="60"/>
      <c r="L120" s="60"/>
      <c r="M120" s="5" t="s">
        <v>58</v>
      </c>
      <c r="N120" s="109" t="n">
        <f aca="false">N119</f>
        <v>0.2</v>
      </c>
      <c r="O120" s="109" t="n">
        <f aca="false">IF(M120="Yes",1,0)</f>
        <v>1</v>
      </c>
      <c r="P120" s="109" t="n">
        <f aca="false">IF(SUMIFS($P$114:$P119,$F$114:$F119,"POOR")=1,O120*N120,0)</f>
        <v>0.2</v>
      </c>
      <c r="Q120" s="132"/>
      <c r="R120" s="132"/>
      <c r="S120" s="132"/>
      <c r="T120" s="132"/>
      <c r="U120" s="5"/>
      <c r="V120" s="5"/>
      <c r="W120" s="5"/>
      <c r="X120" s="5"/>
    </row>
    <row r="121" customFormat="false" ht="15.75" hidden="false" customHeight="false" outlineLevel="0" collapsed="false">
      <c r="A121" s="5"/>
      <c r="B121" s="41"/>
      <c r="C121" s="143"/>
      <c r="D121" s="205"/>
      <c r="E121" s="42"/>
      <c r="F121" s="135" t="s">
        <v>56</v>
      </c>
      <c r="G121" s="65"/>
      <c r="H121" s="65" t="s">
        <v>157</v>
      </c>
      <c r="I121" s="65"/>
      <c r="J121" s="65"/>
      <c r="K121" s="65"/>
      <c r="L121" s="65"/>
      <c r="M121" s="57" t="s">
        <v>58</v>
      </c>
      <c r="N121" s="111" t="n">
        <f aca="false">N117</f>
        <v>0.2</v>
      </c>
      <c r="O121" s="111" t="n">
        <f aca="false">IF(M121="Yes",1,0)</f>
        <v>1</v>
      </c>
      <c r="P121" s="111" t="n">
        <f aca="false">IF(SUMIFS($P$114:$P120,$F$114:$F120,"POOR")=1,O121*N121,0)</f>
        <v>0.2</v>
      </c>
      <c r="Q121" s="134"/>
      <c r="R121" s="134"/>
      <c r="S121" s="134"/>
      <c r="T121" s="134"/>
      <c r="U121" s="5"/>
      <c r="V121" s="5"/>
      <c r="W121" s="5"/>
      <c r="X121" s="5"/>
    </row>
    <row r="122" customFormat="false" ht="15.75" hidden="false" customHeight="false" outlineLevel="0" collapsed="false">
      <c r="A122" s="5"/>
      <c r="B122" s="41"/>
      <c r="C122" s="143"/>
      <c r="D122" s="205"/>
      <c r="E122" s="42"/>
      <c r="F122" s="136" t="s">
        <v>61</v>
      </c>
      <c r="G122" s="69"/>
      <c r="H122" s="69" t="s">
        <v>158</v>
      </c>
      <c r="I122" s="69"/>
      <c r="J122" s="69"/>
      <c r="K122" s="69"/>
      <c r="L122" s="69"/>
      <c r="M122" s="5" t="s">
        <v>58</v>
      </c>
      <c r="N122" s="114" t="n">
        <f aca="false">1/COUNTA(H122:H126)</f>
        <v>0.2</v>
      </c>
      <c r="O122" s="114" t="n">
        <f aca="false">IF(M122="Yes",1,0)</f>
        <v>1</v>
      </c>
      <c r="P122" s="114" t="n">
        <f aca="false">IF(SUMIFS($P$114:$P121,$F$114:$F121,"BASIC")=1,O122*N122,0)</f>
        <v>0.2</v>
      </c>
      <c r="Q122" s="5"/>
      <c r="R122" s="5"/>
      <c r="S122" s="5"/>
      <c r="T122" s="5"/>
      <c r="U122" s="5"/>
      <c r="V122" s="5"/>
      <c r="W122" s="5"/>
      <c r="X122" s="5"/>
    </row>
    <row r="123" customFormat="false" ht="15.75" hidden="false" customHeight="false" outlineLevel="0" collapsed="false">
      <c r="A123" s="5"/>
      <c r="B123" s="41"/>
      <c r="C123" s="143"/>
      <c r="D123" s="205"/>
      <c r="E123" s="42"/>
      <c r="F123" s="188" t="s">
        <v>61</v>
      </c>
      <c r="G123" s="69"/>
      <c r="H123" s="69" t="s">
        <v>159</v>
      </c>
      <c r="I123" s="69"/>
      <c r="J123" s="69"/>
      <c r="K123" s="69"/>
      <c r="L123" s="69"/>
      <c r="M123" s="5" t="s">
        <v>58</v>
      </c>
      <c r="N123" s="114" t="n">
        <f aca="false">N122</f>
        <v>0.2</v>
      </c>
      <c r="O123" s="114" t="n">
        <f aca="false">IF(M123="Yes",1,0)</f>
        <v>1</v>
      </c>
      <c r="P123" s="114" t="n">
        <f aca="false">IF(SUMIFS($P$114:$P122,$F$114:$F122,"BASIC")=1,O123*N123,0)</f>
        <v>0.2</v>
      </c>
      <c r="Q123" s="5"/>
      <c r="R123" s="5"/>
      <c r="S123" s="5"/>
      <c r="T123" s="5"/>
      <c r="U123" s="5"/>
      <c r="V123" s="5"/>
      <c r="W123" s="5"/>
      <c r="X123" s="5"/>
    </row>
    <row r="124" customFormat="false" ht="15.75" hidden="false" customHeight="false" outlineLevel="0" collapsed="false">
      <c r="A124" s="5"/>
      <c r="B124" s="41"/>
      <c r="C124" s="143"/>
      <c r="D124" s="205"/>
      <c r="E124" s="42"/>
      <c r="F124" s="188" t="s">
        <v>61</v>
      </c>
      <c r="G124" s="69"/>
      <c r="H124" s="69" t="s">
        <v>160</v>
      </c>
      <c r="I124" s="69"/>
      <c r="J124" s="69"/>
      <c r="K124" s="69"/>
      <c r="L124" s="69"/>
      <c r="M124" s="5" t="s">
        <v>58</v>
      </c>
      <c r="N124" s="114" t="n">
        <f aca="false">N123</f>
        <v>0.2</v>
      </c>
      <c r="O124" s="114" t="n">
        <f aca="false">IF(M124="Yes",1,0)</f>
        <v>1</v>
      </c>
      <c r="P124" s="114" t="n">
        <f aca="false">IF(SUMIFS($P$114:$P123,$F$114:$F123,"BASIC")=1,O124*N124,0)</f>
        <v>0.2</v>
      </c>
      <c r="Q124" s="5"/>
      <c r="R124" s="5"/>
      <c r="S124" s="5"/>
      <c r="T124" s="5"/>
      <c r="U124" s="5"/>
      <c r="V124" s="5"/>
      <c r="W124" s="5"/>
      <c r="X124" s="5"/>
    </row>
    <row r="125" customFormat="false" ht="15.75" hidden="false" customHeight="false" outlineLevel="0" collapsed="false">
      <c r="A125" s="5"/>
      <c r="B125" s="41"/>
      <c r="C125" s="143"/>
      <c r="D125" s="205"/>
      <c r="E125" s="42"/>
      <c r="F125" s="188" t="s">
        <v>61</v>
      </c>
      <c r="G125" s="69"/>
      <c r="H125" s="69" t="s">
        <v>161</v>
      </c>
      <c r="I125" s="69"/>
      <c r="J125" s="69"/>
      <c r="K125" s="69"/>
      <c r="L125" s="69"/>
      <c r="M125" s="5" t="s">
        <v>58</v>
      </c>
      <c r="N125" s="114" t="n">
        <f aca="false">N124</f>
        <v>0.2</v>
      </c>
      <c r="O125" s="114" t="n">
        <f aca="false">IF(M125="Yes",1,0)</f>
        <v>1</v>
      </c>
      <c r="P125" s="114" t="n">
        <f aca="false">IF(SUMIFS($P$114:$P124,$F$114:$F124,"BASIC")=1,O125*N125,0)</f>
        <v>0.2</v>
      </c>
      <c r="Q125" s="5"/>
      <c r="R125" s="5"/>
      <c r="S125" s="5"/>
      <c r="T125" s="5"/>
      <c r="U125" s="5"/>
      <c r="V125" s="5"/>
      <c r="W125" s="5"/>
      <c r="X125" s="5"/>
    </row>
    <row r="126" customFormat="false" ht="15.75" hidden="false" customHeight="false" outlineLevel="0" collapsed="false">
      <c r="A126" s="5"/>
      <c r="B126" s="41"/>
      <c r="C126" s="143"/>
      <c r="D126" s="205"/>
      <c r="E126" s="42"/>
      <c r="F126" s="188" t="s">
        <v>61</v>
      </c>
      <c r="G126" s="69"/>
      <c r="H126" s="69" t="s">
        <v>162</v>
      </c>
      <c r="I126" s="69"/>
      <c r="J126" s="69"/>
      <c r="K126" s="69"/>
      <c r="L126" s="69"/>
      <c r="M126" s="5" t="s">
        <v>58</v>
      </c>
      <c r="N126" s="114" t="n">
        <f aca="false">N122</f>
        <v>0.2</v>
      </c>
      <c r="O126" s="114" t="n">
        <f aca="false">IF(M126="Yes",1,0)</f>
        <v>1</v>
      </c>
      <c r="P126" s="114" t="n">
        <f aca="false">IF(SUMIFS($P$114:$P125,$F$114:$F125,"BASIC")=1,O126*N126,0)</f>
        <v>0.2</v>
      </c>
      <c r="Q126" s="57"/>
      <c r="R126" s="57"/>
      <c r="S126" s="57"/>
      <c r="T126" s="57"/>
      <c r="U126" s="5"/>
      <c r="V126" s="5"/>
      <c r="W126" s="5"/>
      <c r="X126" s="5"/>
    </row>
    <row r="127" customFormat="false" ht="15.75" hidden="false" customHeight="false" outlineLevel="0" collapsed="false">
      <c r="A127" s="5"/>
      <c r="B127" s="41"/>
      <c r="C127" s="143"/>
      <c r="D127" s="205"/>
      <c r="E127" s="42"/>
      <c r="F127" s="199" t="s">
        <v>67</v>
      </c>
      <c r="G127" s="190"/>
      <c r="H127" s="207" t="s">
        <v>163</v>
      </c>
      <c r="I127" s="190"/>
      <c r="J127" s="190"/>
      <c r="K127" s="190"/>
      <c r="L127" s="190"/>
      <c r="M127" s="186" t="s">
        <v>52</v>
      </c>
      <c r="N127" s="192" t="n">
        <f aca="false">1/COUNTA(H127:H131)</f>
        <v>0.2</v>
      </c>
      <c r="O127" s="192" t="n">
        <f aca="false">IF(M127="Yes",1,0)</f>
        <v>0</v>
      </c>
      <c r="P127" s="192" t="n">
        <f aca="false">IF(SUMIFS($P$114:$P126,$F$114:$F126,"INTERMEDIATE")=1,O127*N127,0)</f>
        <v>0</v>
      </c>
      <c r="Q127" s="186"/>
      <c r="R127" s="186"/>
      <c r="S127" s="186"/>
      <c r="T127" s="186"/>
      <c r="U127" s="5"/>
      <c r="V127" s="5"/>
      <c r="W127" s="5"/>
      <c r="X127" s="5"/>
    </row>
    <row r="128" customFormat="false" ht="15.75" hidden="false" customHeight="false" outlineLevel="0" collapsed="false">
      <c r="A128" s="5"/>
      <c r="B128" s="41"/>
      <c r="C128" s="143"/>
      <c r="D128" s="205"/>
      <c r="E128" s="42"/>
      <c r="F128" s="201" t="s">
        <v>67</v>
      </c>
      <c r="G128" s="79"/>
      <c r="H128" s="79" t="s">
        <v>164</v>
      </c>
      <c r="I128" s="79"/>
      <c r="J128" s="79"/>
      <c r="K128" s="79"/>
      <c r="L128" s="79"/>
      <c r="M128" s="5" t="s">
        <v>52</v>
      </c>
      <c r="N128" s="120" t="n">
        <f aca="false">N127</f>
        <v>0.2</v>
      </c>
      <c r="O128" s="120" t="n">
        <f aca="false">IF(M128="Yes",1,0)</f>
        <v>0</v>
      </c>
      <c r="P128" s="120" t="n">
        <f aca="false">IF(SUMIFS($P$114:$P127,$F$114:$F127,"INTERMEDIATE")=1,O128*N128,0)</f>
        <v>0</v>
      </c>
      <c r="Q128" s="5"/>
      <c r="R128" s="5"/>
      <c r="S128" s="5"/>
      <c r="T128" s="5"/>
      <c r="U128" s="5"/>
      <c r="V128" s="5"/>
      <c r="W128" s="5"/>
      <c r="X128" s="5"/>
    </row>
    <row r="129" customFormat="false" ht="15.75" hidden="false" customHeight="false" outlineLevel="0" collapsed="false">
      <c r="A129" s="5"/>
      <c r="B129" s="41"/>
      <c r="C129" s="143"/>
      <c r="D129" s="205"/>
      <c r="E129" s="42"/>
      <c r="F129" s="201" t="s">
        <v>67</v>
      </c>
      <c r="G129" s="79"/>
      <c r="H129" s="79" t="s">
        <v>165</v>
      </c>
      <c r="I129" s="79"/>
      <c r="J129" s="79"/>
      <c r="K129" s="79"/>
      <c r="L129" s="79"/>
      <c r="M129" s="5" t="s">
        <v>52</v>
      </c>
      <c r="N129" s="120" t="n">
        <f aca="false">N128</f>
        <v>0.2</v>
      </c>
      <c r="O129" s="120" t="n">
        <f aca="false">IF(M129="Yes",1,0)</f>
        <v>0</v>
      </c>
      <c r="P129" s="120" t="n">
        <f aca="false">IF(SUMIFS($P$114:$P128,$F$114:$F128,"INTERMEDIATE")=1,O129*N129,0)</f>
        <v>0</v>
      </c>
      <c r="Q129" s="5"/>
      <c r="R129" s="5"/>
      <c r="S129" s="5"/>
      <c r="T129" s="5"/>
      <c r="U129" s="5"/>
      <c r="V129" s="5"/>
      <c r="W129" s="5"/>
      <c r="X129" s="5"/>
    </row>
    <row r="130" customFormat="false" ht="15.75" hidden="false" customHeight="false" outlineLevel="0" collapsed="false">
      <c r="A130" s="5"/>
      <c r="B130" s="41"/>
      <c r="C130" s="143"/>
      <c r="D130" s="205"/>
      <c r="E130" s="42"/>
      <c r="F130" s="201" t="s">
        <v>67</v>
      </c>
      <c r="G130" s="79"/>
      <c r="H130" s="79" t="s">
        <v>166</v>
      </c>
      <c r="I130" s="79"/>
      <c r="J130" s="79"/>
      <c r="K130" s="79"/>
      <c r="L130" s="79"/>
      <c r="M130" s="5" t="s">
        <v>52</v>
      </c>
      <c r="N130" s="120" t="n">
        <f aca="false">N129</f>
        <v>0.2</v>
      </c>
      <c r="O130" s="120" t="n">
        <f aca="false">IF(M130="Yes",1,0)</f>
        <v>0</v>
      </c>
      <c r="P130" s="120" t="n">
        <f aca="false">IF(SUMIFS($P$114:$P129,$F$114:$F129,"INTERMEDIATE")=1,O130*N130,0)</f>
        <v>0</v>
      </c>
      <c r="Q130" s="5"/>
      <c r="R130" s="5"/>
      <c r="S130" s="5"/>
      <c r="T130" s="5"/>
      <c r="U130" s="5"/>
      <c r="V130" s="5"/>
      <c r="W130" s="5"/>
      <c r="X130" s="5"/>
    </row>
    <row r="131" customFormat="false" ht="15.75" hidden="false" customHeight="false" outlineLevel="0" collapsed="false">
      <c r="A131" s="5"/>
      <c r="B131" s="41"/>
      <c r="C131" s="143"/>
      <c r="D131" s="205"/>
      <c r="E131" s="42"/>
      <c r="F131" s="140" t="s">
        <v>67</v>
      </c>
      <c r="G131" s="84"/>
      <c r="H131" s="84" t="s">
        <v>167</v>
      </c>
      <c r="I131" s="84"/>
      <c r="J131" s="84"/>
      <c r="K131" s="84"/>
      <c r="L131" s="84"/>
      <c r="M131" s="57" t="s">
        <v>52</v>
      </c>
      <c r="N131" s="123" t="n">
        <f aca="false">N127</f>
        <v>0.2</v>
      </c>
      <c r="O131" s="123" t="n">
        <f aca="false">IF(M131="Yes",1,0)</f>
        <v>0</v>
      </c>
      <c r="P131" s="123" t="n">
        <f aca="false">IF(SUMIFS($P$114:$P130,$F$114:$F130,"INTERMEDIATE")=1,O131*N131,0)</f>
        <v>0</v>
      </c>
      <c r="Q131" s="57"/>
      <c r="R131" s="57"/>
      <c r="S131" s="57"/>
      <c r="T131" s="57"/>
      <c r="U131" s="5"/>
      <c r="V131" s="5"/>
      <c r="W131" s="5"/>
      <c r="X131" s="5"/>
    </row>
    <row r="132" customFormat="false" ht="15.75" hidden="false" customHeight="false" outlineLevel="0" collapsed="false">
      <c r="A132" s="5"/>
      <c r="B132" s="41"/>
      <c r="C132" s="143"/>
      <c r="D132" s="205"/>
      <c r="E132" s="42"/>
      <c r="F132" s="202" t="s">
        <v>72</v>
      </c>
      <c r="G132" s="88"/>
      <c r="H132" s="88" t="s">
        <v>168</v>
      </c>
      <c r="I132" s="88"/>
      <c r="J132" s="88"/>
      <c r="K132" s="88"/>
      <c r="L132" s="88"/>
      <c r="M132" s="5" t="s">
        <v>52</v>
      </c>
      <c r="N132" s="125" t="n">
        <f aca="false">1/COUNTA(H132:H134)</f>
        <v>0.333333333333333</v>
      </c>
      <c r="O132" s="125" t="n">
        <f aca="false">IF(M132="Yes",1,0)</f>
        <v>0</v>
      </c>
      <c r="P132" s="125" t="n">
        <f aca="false">IF(SUMIFS($P$114:$P131,$F$114:$F131,"ADVANCED")=1,O132*N132,0)</f>
        <v>0</v>
      </c>
      <c r="Q132" s="5"/>
      <c r="R132" s="5"/>
      <c r="S132" s="5"/>
      <c r="T132" s="5"/>
      <c r="U132" s="5"/>
      <c r="V132" s="6"/>
      <c r="W132" s="6"/>
      <c r="X132" s="5"/>
    </row>
    <row r="133" customFormat="false" ht="15.75" hidden="false" customHeight="false" outlineLevel="0" collapsed="false">
      <c r="A133" s="5"/>
      <c r="B133" s="41"/>
      <c r="C133" s="143"/>
      <c r="D133" s="205"/>
      <c r="E133" s="42"/>
      <c r="F133" s="208" t="s">
        <v>74</v>
      </c>
      <c r="G133" s="88"/>
      <c r="H133" s="88" t="s">
        <v>169</v>
      </c>
      <c r="I133" s="88"/>
      <c r="J133" s="88"/>
      <c r="K133" s="88"/>
      <c r="L133" s="88"/>
      <c r="M133" s="5" t="s">
        <v>52</v>
      </c>
      <c r="N133" s="125" t="n">
        <f aca="false">N132</f>
        <v>0.333333333333333</v>
      </c>
      <c r="O133" s="125" t="n">
        <f aca="false">IF(M133="Yes",1,0)</f>
        <v>0</v>
      </c>
      <c r="P133" s="125" t="n">
        <f aca="false">IF(SUMIFS($P$114:$P132,$F$114:$F132,"ADVANCED")=1,O133*N133,0)</f>
        <v>0</v>
      </c>
      <c r="Q133" s="5"/>
      <c r="R133" s="5"/>
      <c r="S133" s="5"/>
      <c r="T133" s="5"/>
      <c r="U133" s="5"/>
      <c r="V133" s="6"/>
      <c r="W133" s="6"/>
      <c r="X133" s="5"/>
    </row>
    <row r="134" customFormat="false" ht="15.75" hidden="false" customHeight="false" outlineLevel="0" collapsed="false">
      <c r="A134" s="5"/>
      <c r="B134" s="41"/>
      <c r="C134" s="143"/>
      <c r="D134" s="205"/>
      <c r="E134" s="42"/>
      <c r="F134" s="203" t="s">
        <v>74</v>
      </c>
      <c r="G134" s="93"/>
      <c r="H134" s="93" t="s">
        <v>170</v>
      </c>
      <c r="I134" s="93"/>
      <c r="J134" s="93"/>
      <c r="K134" s="93"/>
      <c r="L134" s="93"/>
      <c r="M134" s="95" t="s">
        <v>52</v>
      </c>
      <c r="N134" s="127" t="n">
        <f aca="false">N133</f>
        <v>0.333333333333333</v>
      </c>
      <c r="O134" s="127" t="n">
        <f aca="false">IF(M134="Yes",1,0)</f>
        <v>0</v>
      </c>
      <c r="P134" s="127" t="n">
        <f aca="false">IF(SUMIFS($P$114:$P133,$F$114:$F133,"ADVANCED")=1,O134*N134,0)</f>
        <v>0</v>
      </c>
      <c r="Q134" s="95"/>
      <c r="R134" s="95"/>
      <c r="S134" s="95"/>
      <c r="T134" s="95"/>
      <c r="U134" s="5"/>
      <c r="V134" s="6" t="s">
        <v>77</v>
      </c>
      <c r="W134" s="97" t="str">
        <f aca="false" t="array" ref="W134:W134">IFERROR(INDEX(Parameters!$B$5:$B$9,MATCH(SUM($P$114:$P$134),Parameters!$C$5:$C$9,0)),INDEX(Parameters!$B$5:$B$9,MATCH(SUM($P$114:$P$134),Parameters!$C$5:$C$9,1)))</f>
        <v>Intermediate</v>
      </c>
      <c r="X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</sheetData>
  <mergeCells count="15">
    <mergeCell ref="B12:B14"/>
    <mergeCell ref="B16:B18"/>
    <mergeCell ref="B22:B70"/>
    <mergeCell ref="D22:D38"/>
    <mergeCell ref="D40:D59"/>
    <mergeCell ref="D61:D70"/>
    <mergeCell ref="B73:B89"/>
    <mergeCell ref="D73:D77"/>
    <mergeCell ref="D79:D83"/>
    <mergeCell ref="D85:D89"/>
    <mergeCell ref="B92:B134"/>
    <mergeCell ref="D92:D99"/>
    <mergeCell ref="D101:D112"/>
    <mergeCell ref="D114:D134"/>
    <mergeCell ref="Q134:T134"/>
  </mergeCells>
  <conditionalFormatting sqref="F12:F18">
    <cfRule type="expression" priority="2" aboveAverage="0" equalAverage="0" bottom="0" percent="0" rank="0" text="" dxfId="0">
      <formula>AND(G12&gt;=0,G12&lt;1)</formula>
    </cfRule>
    <cfRule type="expression" priority="3" aboveAverage="0" equalAverage="0" bottom="0" percent="0" rank="0" text="" dxfId="1">
      <formula>G12&gt;=1</formula>
    </cfRule>
    <cfRule type="expression" priority="4" aboveAverage="0" equalAverage="0" bottom="0" percent="0" rank="0" text="" dxfId="2">
      <formula>G12&lt;0</formula>
    </cfRule>
    <cfRule type="expression" priority="5" aboveAverage="0" equalAverage="0" bottom="0" percent="0" rank="0" text="" dxfId="3">
      <formula>G12&lt;=1</formula>
    </cfRule>
  </conditionalFormatting>
  <conditionalFormatting sqref="F6:F9">
    <cfRule type="cellIs" priority="6" operator="equal" aboveAverage="0" equalAverage="0" bottom="0" percent="0" rank="0" text="" dxfId="4">
      <formula>"Underperformer"</formula>
    </cfRule>
    <cfRule type="cellIs" priority="7" operator="equal" aboveAverage="0" equalAverage="0" bottom="0" percent="0" rank="0" text="" dxfId="5">
      <formula>"Above The Bar"</formula>
    </cfRule>
    <cfRule type="cellIs" priority="8" operator="equal" aboveAverage="0" equalAverage="0" bottom="0" percent="0" rank="0" text="" dxfId="6">
      <formula>"A-player"</formula>
    </cfRule>
  </conditionalFormatting>
  <conditionalFormatting sqref="N5:Q9 N12:P14 N16:P18 S5:U9 S12:U14 S16:U18">
    <cfRule type="containsText" priority="9" operator="containsText" aboveAverage="0" equalAverage="0" bottom="0" percent="0" rank="0" text="MUST COMPLETE or N/A" dxfId="7">
      <formula>NOT(ISERROR(SEARCH("MUST COMPLETE or N/A",N5)))</formula>
    </cfRule>
  </conditionalFormatting>
  <dataValidations count="4">
    <dataValidation allowBlank="true" errorStyle="stop" operator="between" showDropDown="false" showErrorMessage="true" showInputMessage="false" sqref="M26:M38 M45:M59 M64:M70 M74:M77 M80:M83 M86:M89 M93:M99 M102:M112 M117:M134" type="list">
      <formula1>"Yes,No,N/A"</formula1>
      <formula2>0</formula2>
    </dataValidation>
    <dataValidation allowBlank="true" errorStyle="stop" operator="between" showDropDown="false" showErrorMessage="true" showInputMessage="false" sqref="M22 M73 M79 M85 M92" type="list">
      <formula1>"Yes,No,N/A"</formula1>
      <formula2>0</formula2>
    </dataValidation>
    <dataValidation allowBlank="true" errorStyle="stop" operator="between" showDropDown="false" showErrorMessage="true" showInputMessage="false" sqref="F5" type="list">
      <formula1>Parameters!$B$17:$B$20</formula1>
      <formula2>0</formula2>
    </dataValidation>
    <dataValidation allowBlank="true" errorStyle="stop" operator="between" showDropDown="false" showErrorMessage="true" showInputMessage="false" sqref="M23:M25 M40:M44 M61:M63 M101 M114:M116" type="list">
      <formula1>"Yes,No"</formula1>
      <formula2>0</formula2>
    </dataValidation>
  </dataValidations>
  <hyperlinks>
    <hyperlink ref="B12" location="Culture" display="Culture"/>
    <hyperlink ref="D12" location="Dream_Team" display="Dream Team"/>
    <hyperlink ref="D13" location="Push_Limits" display="Push the Limits"/>
    <hyperlink ref="D14" location="Get_Done" display="Get It Done"/>
    <hyperlink ref="B15" location="Deliverables" display="Deliverables Score"/>
    <hyperlink ref="B16" location="Skills" display="Skills"/>
    <hyperlink ref="D16" location="Problem_Solving" display="Problem Solving"/>
    <hyperlink ref="D17" location="Product_Lifecycle" display="Lifecycle Management"/>
    <hyperlink ref="D18" location="Product_Thinking" display="Product Sen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T9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9.13"/>
    <col collapsed="false" customWidth="true" hidden="false" outlineLevel="0" max="4" min="4" style="0" width="10.13"/>
  </cols>
  <sheetData>
    <row r="1" customFormat="false" ht="15.75" hidden="false" customHeight="false" outlineLevel="0" collapsed="false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</row>
    <row r="2" customFormat="false" ht="15.75" hidden="false" customHeight="false" outlineLevel="0" collapsed="false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</row>
    <row r="3" customFormat="false" ht="15.75" hidden="false" customHeight="false" outlineLevel="0" collapsed="false">
      <c r="A3" s="210"/>
      <c r="B3" s="211" t="s">
        <v>171</v>
      </c>
      <c r="C3" s="211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</row>
    <row r="4" customFormat="false" ht="15.75" hidden="false" customHeight="false" outlineLevel="0" collapsed="false">
      <c r="A4" s="209"/>
      <c r="B4" s="212" t="s">
        <v>172</v>
      </c>
      <c r="C4" s="212" t="s">
        <v>42</v>
      </c>
      <c r="D4" s="212" t="s">
        <v>173</v>
      </c>
      <c r="E4" s="212" t="s">
        <v>174</v>
      </c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</row>
    <row r="5" customFormat="false" ht="15.75" hidden="false" customHeight="false" outlineLevel="0" collapsed="false">
      <c r="A5" s="209"/>
      <c r="B5" s="209" t="s">
        <v>175</v>
      </c>
      <c r="C5" s="213" t="n">
        <v>0</v>
      </c>
      <c r="D5" s="213" t="n">
        <v>0</v>
      </c>
      <c r="E5" s="214" t="n">
        <v>0</v>
      </c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</row>
    <row r="6" customFormat="false" ht="15.75" hidden="false" customHeight="false" outlineLevel="0" collapsed="false">
      <c r="A6" s="209"/>
      <c r="B6" s="209" t="s">
        <v>176</v>
      </c>
      <c r="C6" s="213" t="n">
        <v>1</v>
      </c>
      <c r="D6" s="213" t="n">
        <v>1.51</v>
      </c>
      <c r="E6" s="214" t="n">
        <v>8</v>
      </c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</row>
    <row r="7" customFormat="false" ht="15.75" hidden="false" customHeight="false" outlineLevel="0" collapsed="false">
      <c r="A7" s="209"/>
      <c r="B7" s="209" t="s">
        <v>177</v>
      </c>
      <c r="C7" s="213" t="n">
        <v>2.51</v>
      </c>
      <c r="D7" s="213" t="n">
        <v>2.51</v>
      </c>
      <c r="E7" s="214" t="n">
        <v>18</v>
      </c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</row>
    <row r="8" customFormat="false" ht="15.75" hidden="false" customHeight="false" outlineLevel="0" collapsed="false">
      <c r="A8" s="209"/>
      <c r="B8" s="209" t="s">
        <v>178</v>
      </c>
      <c r="C8" s="213" t="n">
        <v>3.51</v>
      </c>
      <c r="D8" s="213" t="n">
        <v>3.51</v>
      </c>
      <c r="E8" s="214" t="n">
        <v>32</v>
      </c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</row>
    <row r="9" customFormat="false" ht="15.75" hidden="false" customHeight="false" outlineLevel="0" collapsed="false">
      <c r="A9" s="209"/>
      <c r="B9" s="209" t="s">
        <v>179</v>
      </c>
      <c r="C9" s="213" t="n">
        <v>4.51</v>
      </c>
      <c r="D9" s="213" t="n">
        <v>4.51</v>
      </c>
      <c r="E9" s="214" t="n">
        <v>50</v>
      </c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</row>
    <row r="10" customFormat="false" ht="15.75" hidden="false" customHeight="false" outlineLevel="0" collapsed="false">
      <c r="A10" s="209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</row>
    <row r="11" customFormat="false" ht="15.75" hidden="false" customHeight="false" outlineLevel="0" collapsed="false">
      <c r="A11" s="209"/>
      <c r="B11" s="209"/>
      <c r="C11" s="212"/>
      <c r="D11" s="215"/>
      <c r="E11" s="212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</row>
    <row r="12" customFormat="false" ht="15.75" hidden="false" customHeight="false" outlineLevel="0" collapsed="false">
      <c r="A12" s="209"/>
      <c r="B12" s="209"/>
      <c r="C12" s="212"/>
      <c r="D12" s="215"/>
      <c r="E12" s="212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</row>
    <row r="13" customFormat="false" ht="15.75" hidden="false" customHeight="false" outlineLevel="0" collapsed="false">
      <c r="A13" s="210"/>
      <c r="B13" s="216" t="s">
        <v>180</v>
      </c>
      <c r="C13" s="211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</row>
    <row r="14" customFormat="false" ht="15.75" hidden="false" customHeight="false" outlineLevel="0" collapsed="false">
      <c r="A14" s="209"/>
      <c r="B14" s="209"/>
      <c r="C14" s="212"/>
      <c r="D14" s="215"/>
      <c r="E14" s="212"/>
      <c r="F14" s="209"/>
      <c r="G14" s="212"/>
      <c r="H14" s="212"/>
      <c r="I14" s="212"/>
      <c r="J14" s="212"/>
      <c r="K14" s="215"/>
      <c r="L14" s="212"/>
      <c r="M14" s="209"/>
      <c r="N14" s="209"/>
      <c r="O14" s="209"/>
      <c r="P14" s="209"/>
      <c r="Q14" s="209"/>
      <c r="R14" s="209"/>
      <c r="S14" s="209"/>
      <c r="T14" s="209"/>
    </row>
    <row r="15" customFormat="false" ht="15.75" hidden="false" customHeight="false" outlineLevel="0" collapsed="false">
      <c r="A15" s="209"/>
      <c r="B15" s="209"/>
      <c r="C15" s="217" t="s">
        <v>26</v>
      </c>
      <c r="D15" s="217"/>
      <c r="E15" s="217"/>
      <c r="F15" s="218" t="s">
        <v>110</v>
      </c>
      <c r="G15" s="219" t="s">
        <v>35</v>
      </c>
      <c r="H15" s="219"/>
      <c r="I15" s="219"/>
      <c r="J15" s="220" t="s">
        <v>181</v>
      </c>
      <c r="K15" s="221"/>
      <c r="L15" s="222"/>
      <c r="M15" s="222"/>
      <c r="N15" s="222"/>
      <c r="O15" s="222"/>
      <c r="P15" s="222"/>
      <c r="Q15" s="209"/>
      <c r="R15" s="209"/>
      <c r="S15" s="209"/>
      <c r="T15" s="209"/>
    </row>
    <row r="16" customFormat="false" ht="23.85" hidden="false" customHeight="false" outlineLevel="0" collapsed="false">
      <c r="A16" s="209"/>
      <c r="B16" s="209"/>
      <c r="C16" s="223" t="s">
        <v>27</v>
      </c>
      <c r="D16" s="224" t="s">
        <v>29</v>
      </c>
      <c r="E16" s="223" t="s">
        <v>182</v>
      </c>
      <c r="F16" s="223" t="s">
        <v>110</v>
      </c>
      <c r="G16" s="223" t="s">
        <v>36</v>
      </c>
      <c r="H16" s="223" t="s">
        <v>38</v>
      </c>
      <c r="I16" s="223" t="s">
        <v>40</v>
      </c>
      <c r="J16" s="223" t="s">
        <v>27</v>
      </c>
      <c r="K16" s="224" t="s">
        <v>29</v>
      </c>
      <c r="L16" s="223" t="s">
        <v>182</v>
      </c>
      <c r="M16" s="223" t="s">
        <v>110</v>
      </c>
      <c r="N16" s="223" t="s">
        <v>36</v>
      </c>
      <c r="O16" s="223" t="s">
        <v>38</v>
      </c>
      <c r="P16" s="223" t="s">
        <v>40</v>
      </c>
      <c r="Q16" s="209"/>
      <c r="R16" s="209"/>
      <c r="S16" s="209"/>
      <c r="T16" s="209"/>
    </row>
    <row r="17" customFormat="false" ht="15.75" hidden="false" customHeight="false" outlineLevel="0" collapsed="false">
      <c r="A17" s="209"/>
      <c r="B17" s="212" t="s">
        <v>183</v>
      </c>
      <c r="C17" s="225" t="s">
        <v>176</v>
      </c>
      <c r="D17" s="225" t="s">
        <v>176</v>
      </c>
      <c r="E17" s="225" t="s">
        <v>176</v>
      </c>
      <c r="F17" s="225" t="s">
        <v>176</v>
      </c>
      <c r="G17" s="225" t="s">
        <v>176</v>
      </c>
      <c r="H17" s="225" t="s">
        <v>176</v>
      </c>
      <c r="I17" s="225" t="s">
        <v>176</v>
      </c>
      <c r="J17" s="209" t="n">
        <f aca="false">INDEX($D$5:$D$9,MATCH(C17,$B$5:$B$9,0))</f>
        <v>1.51</v>
      </c>
      <c r="K17" s="209" t="n">
        <f aca="false">INDEX($D$5:$D$9,MATCH(D17,$B$5:$B$9,0))</f>
        <v>1.51</v>
      </c>
      <c r="L17" s="209" t="n">
        <f aca="false">INDEX($D$5:$D$9,MATCH(E17,$B$5:$B$9,0))</f>
        <v>1.51</v>
      </c>
      <c r="M17" s="209" t="n">
        <f aca="false">INDEX($D$5:$D$9,MATCH(F17,$B$5:$B$9,0))</f>
        <v>1.51</v>
      </c>
      <c r="N17" s="209" t="n">
        <f aca="false">INDEX($D$5:$D$9,MATCH(G17,$B$5:$B$9,0))</f>
        <v>1.51</v>
      </c>
      <c r="O17" s="209" t="n">
        <f aca="false">INDEX($D$5:$D$9,MATCH(H17,$B$5:$B$9,0))</f>
        <v>1.51</v>
      </c>
      <c r="P17" s="209" t="n">
        <f aca="false">INDEX($D$5:$D$9,MATCH(I17,$B$5:$B$9,0))</f>
        <v>1.51</v>
      </c>
      <c r="Q17" s="209"/>
      <c r="R17" s="209"/>
      <c r="S17" s="209"/>
      <c r="T17" s="209"/>
    </row>
    <row r="18" customFormat="false" ht="15.75" hidden="false" customHeight="false" outlineLevel="0" collapsed="false">
      <c r="A18" s="209"/>
      <c r="B18" s="212" t="s">
        <v>9</v>
      </c>
      <c r="C18" s="225" t="s">
        <v>176</v>
      </c>
      <c r="D18" s="225" t="s">
        <v>176</v>
      </c>
      <c r="E18" s="225" t="s">
        <v>176</v>
      </c>
      <c r="F18" s="225" t="s">
        <v>177</v>
      </c>
      <c r="G18" s="225" t="s">
        <v>177</v>
      </c>
      <c r="H18" s="225" t="s">
        <v>176</v>
      </c>
      <c r="I18" s="225" t="s">
        <v>176</v>
      </c>
      <c r="J18" s="209" t="n">
        <f aca="false">INDEX($D$5:$D$9,MATCH(C18,$B$5:$B$9,0))</f>
        <v>1.51</v>
      </c>
      <c r="K18" s="209" t="n">
        <f aca="false">INDEX($D$5:$D$9,MATCH(D18,$B$5:$B$9,0))</f>
        <v>1.51</v>
      </c>
      <c r="L18" s="209" t="n">
        <f aca="false">INDEX($D$5:$D$9,MATCH(E18,$B$5:$B$9,0))</f>
        <v>1.51</v>
      </c>
      <c r="M18" s="209" t="n">
        <f aca="false">INDEX($D$5:$D$9,MATCH(F18,$B$5:$B$9,0))</f>
        <v>2.51</v>
      </c>
      <c r="N18" s="209" t="n">
        <f aca="false">INDEX($D$5:$D$9,MATCH(G18,$B$5:$B$9,0))</f>
        <v>2.51</v>
      </c>
      <c r="O18" s="209" t="n">
        <f aca="false">INDEX($D$5:$D$9,MATCH(H18,$B$5:$B$9,0))</f>
        <v>1.51</v>
      </c>
      <c r="P18" s="209" t="n">
        <f aca="false">INDEX($D$5:$D$9,MATCH(I18,$B$5:$B$9,0))</f>
        <v>1.51</v>
      </c>
      <c r="Q18" s="209"/>
      <c r="R18" s="209"/>
      <c r="S18" s="209"/>
      <c r="T18" s="209"/>
    </row>
    <row r="19" customFormat="false" ht="15.75" hidden="false" customHeight="false" outlineLevel="0" collapsed="false">
      <c r="A19" s="209"/>
      <c r="B19" s="226" t="s">
        <v>184</v>
      </c>
      <c r="C19" s="225" t="s">
        <v>177</v>
      </c>
      <c r="D19" s="225" t="s">
        <v>176</v>
      </c>
      <c r="E19" s="225" t="s">
        <v>177</v>
      </c>
      <c r="F19" s="225" t="s">
        <v>177</v>
      </c>
      <c r="G19" s="225" t="s">
        <v>178</v>
      </c>
      <c r="H19" s="225" t="s">
        <v>177</v>
      </c>
      <c r="I19" s="225" t="s">
        <v>177</v>
      </c>
      <c r="J19" s="209" t="n">
        <f aca="false">INDEX($D$5:$D$9,MATCH(C19,$B$5:$B$9,0))</f>
        <v>2.51</v>
      </c>
      <c r="K19" s="209" t="n">
        <f aca="false">INDEX($D$5:$D$9,MATCH(D19,$B$5:$B$9,0))</f>
        <v>1.51</v>
      </c>
      <c r="L19" s="209" t="n">
        <f aca="false">INDEX($D$5:$D$9,MATCH(E19,$B$5:$B$9,0))</f>
        <v>2.51</v>
      </c>
      <c r="M19" s="209" t="n">
        <f aca="false">INDEX($D$5:$D$9,MATCH(F19,$B$5:$B$9,0))</f>
        <v>2.51</v>
      </c>
      <c r="N19" s="209" t="n">
        <f aca="false">INDEX($D$5:$D$9,MATCH(G19,$B$5:$B$9,0))</f>
        <v>3.51</v>
      </c>
      <c r="O19" s="209" t="n">
        <f aca="false">INDEX($D$5:$D$9,MATCH(H19,$B$5:$B$9,0))</f>
        <v>2.51</v>
      </c>
      <c r="P19" s="209" t="n">
        <f aca="false">INDEX($D$5:$D$9,MATCH(I19,$B$5:$B$9,0))</f>
        <v>2.51</v>
      </c>
      <c r="Q19" s="209"/>
      <c r="R19" s="209"/>
      <c r="S19" s="209"/>
      <c r="T19" s="209"/>
    </row>
    <row r="20" customFormat="false" ht="15.75" hidden="false" customHeight="false" outlineLevel="0" collapsed="false">
      <c r="A20" s="209"/>
      <c r="B20" s="226" t="s">
        <v>185</v>
      </c>
      <c r="C20" s="225" t="s">
        <v>178</v>
      </c>
      <c r="D20" s="225" t="s">
        <v>177</v>
      </c>
      <c r="E20" s="225" t="s">
        <v>178</v>
      </c>
      <c r="F20" s="225" t="s">
        <v>178</v>
      </c>
      <c r="G20" s="225" t="s">
        <v>178</v>
      </c>
      <c r="H20" s="225" t="s">
        <v>178</v>
      </c>
      <c r="I20" s="225" t="s">
        <v>178</v>
      </c>
      <c r="J20" s="209" t="n">
        <f aca="false">INDEX($D$5:$D$9,MATCH(C20,$B$5:$B$9,0))</f>
        <v>3.51</v>
      </c>
      <c r="K20" s="209" t="n">
        <f aca="false">INDEX($D$5:$D$9,MATCH(D20,$B$5:$B$9,0))</f>
        <v>2.51</v>
      </c>
      <c r="L20" s="209" t="n">
        <f aca="false">INDEX($D$5:$D$9,MATCH(E20,$B$5:$B$9,0))</f>
        <v>3.51</v>
      </c>
      <c r="M20" s="209" t="n">
        <f aca="false">INDEX($D$5:$D$9,MATCH(F20,$B$5:$B$9,0))</f>
        <v>3.51</v>
      </c>
      <c r="N20" s="209" t="n">
        <f aca="false">INDEX($D$5:$D$9,MATCH(G20,$B$5:$B$9,0))</f>
        <v>3.51</v>
      </c>
      <c r="O20" s="209" t="n">
        <f aca="false">INDEX($D$5:$D$9,MATCH(H20,$B$5:$B$9,0))</f>
        <v>3.51</v>
      </c>
      <c r="P20" s="209" t="n">
        <f aca="false">INDEX($D$5:$D$9,MATCH(I20,$B$5:$B$9,0))</f>
        <v>3.51</v>
      </c>
      <c r="Q20" s="209"/>
      <c r="R20" s="209"/>
      <c r="S20" s="209"/>
      <c r="T20" s="209"/>
    </row>
    <row r="21" customFormat="false" ht="15.75" hidden="false" customHeight="false" outlineLevel="0" collapsed="false">
      <c r="A21" s="209"/>
      <c r="B21" s="209"/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</row>
    <row r="22" customFormat="false" ht="15.75" hidden="false" customHeight="false" outlineLevel="0" collapsed="false">
      <c r="A22" s="209"/>
      <c r="B22" s="220" t="s">
        <v>186</v>
      </c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09"/>
      <c r="R22" s="209"/>
      <c r="S22" s="209"/>
      <c r="T22" s="209"/>
    </row>
    <row r="23" customFormat="false" ht="15.75" hidden="false" customHeight="false" outlineLevel="0" collapsed="false">
      <c r="A23" s="209"/>
      <c r="B23" s="212" t="s">
        <v>187</v>
      </c>
      <c r="C23" s="209"/>
      <c r="D23" s="209"/>
      <c r="E23" s="209"/>
      <c r="F23" s="209"/>
      <c r="G23" s="227"/>
      <c r="H23" s="227"/>
      <c r="I23" s="227"/>
      <c r="J23" s="227" t="n">
        <f aca="false" t="array" ref="J23:J23">INDEX(Parameters!$D$5:$D$9,MATCH(INDEX('Assessment Scorecard'!$F$12:$F$19,MATCH(J$16,'Assessment Scorecard'!$D$12:$D$19,0)),Parameters!$B$5:$B$9,0))</f>
        <v>2.51</v>
      </c>
      <c r="K23" s="227" t="n">
        <f aca="false" t="array" ref="K23:K23">INDEX(Parameters!$D$5:$D$9,MATCH(INDEX('Assessment Scorecard'!$F$12:$F$19,MATCH(K$16,'Assessment Scorecard'!$D$12:$D$19,0)),Parameters!$B$5:$B$9,0))</f>
        <v>1.51</v>
      </c>
      <c r="L23" s="227" t="n">
        <f aca="false" t="array" ref="L23:L23">INDEX(Parameters!$D$5:$D$9,MATCH(INDEX('Assessment Scorecard'!$F$12:$F$19,MATCH(L$16,'Assessment Scorecard'!$D$12:$D$19,0)),Parameters!$B$5:$B$9,0))</f>
        <v>2.51</v>
      </c>
      <c r="M23" s="227" t="n">
        <f aca="false" t="array" ref="M23:M23">INDEX(Parameters!$D$5:$D$9,MATCH('Assessment Scorecard'!F15,Parameters!$B$5:$B$9,0))</f>
        <v>3.51</v>
      </c>
      <c r="N23" s="227" t="n">
        <f aca="false" t="array" ref="N23:N23">INDEX(Parameters!$D$5:$D$9,MATCH(INDEX('Assessment Scorecard'!$F$12:$F$19,MATCH(N$16,'Assessment Scorecard'!$D$12:$D$19,0)),Parameters!$B$5:$B$9,0))</f>
        <v>3.51</v>
      </c>
      <c r="O23" s="227" t="n">
        <f aca="false" t="array" ref="O23:O23">INDEX(Parameters!$D$5:$D$9,MATCH(INDEX('Assessment Scorecard'!$F$12:$F$19,MATCH(O$16,'Assessment Scorecard'!$D$12:$D$19,0)),Parameters!$B$5:$B$9,0))</f>
        <v>2.51</v>
      </c>
      <c r="P23" s="227" t="n">
        <f aca="false" t="array" ref="P23:P23">INDEX(Parameters!$D$5:$D$9,MATCH(INDEX('Assessment Scorecard'!$F$12:$F$19,MATCH(P$16,'Assessment Scorecard'!$D$12:$D$19,0)),Parameters!$B$5:$B$9,0))</f>
        <v>2.51</v>
      </c>
      <c r="Q23" s="209"/>
      <c r="R23" s="209"/>
      <c r="S23" s="209"/>
      <c r="T23" s="209"/>
    </row>
    <row r="24" customFormat="false" ht="15.75" hidden="false" customHeight="false" outlineLevel="0" collapsed="false">
      <c r="A24" s="209"/>
      <c r="B24" s="212" t="s">
        <v>24</v>
      </c>
      <c r="C24" s="209"/>
      <c r="D24" s="209"/>
      <c r="E24" s="209"/>
      <c r="F24" s="209"/>
      <c r="G24" s="227"/>
      <c r="H24" s="227"/>
      <c r="I24" s="227"/>
      <c r="J24" s="227" t="n">
        <f aca="false" t="array" ref="J24:J24">INDEX(J$17:J$20,MATCH('Assessment Scorecard'!$F$5,$B$17:$B$20,0))</f>
        <v>1.51</v>
      </c>
      <c r="K24" s="227" t="n">
        <f aca="false" t="array" ref="K24:K24">INDEX(K$17:K$20,MATCH('Assessment Scorecard'!$F$5,$B$17:$B$20,0))</f>
        <v>1.51</v>
      </c>
      <c r="L24" s="227" t="n">
        <f aca="false" t="array" ref="L24:L24">INDEX(L$17:L$20,MATCH('Assessment Scorecard'!$F$5,$B$17:$B$20,0))</f>
        <v>1.51</v>
      </c>
      <c r="M24" s="227" t="n">
        <f aca="false" t="array" ref="M24:M24">INDEX(M$17:M$20,MATCH('Assessment Scorecard'!$F$5,$B$17:$B$20,0))</f>
        <v>2.51</v>
      </c>
      <c r="N24" s="227" t="n">
        <f aca="false" t="array" ref="N24:N24">INDEX(N$17:N$20,MATCH('Assessment Scorecard'!$F$5,$B$17:$B$20,0))</f>
        <v>2.51</v>
      </c>
      <c r="O24" s="227" t="n">
        <f aca="false" t="array" ref="O24:O24">INDEX(O$17:O$20,MATCH('Assessment Scorecard'!$F$5,$B$17:$B$20,0))</f>
        <v>1.51</v>
      </c>
      <c r="P24" s="227" t="n">
        <f aca="false" t="array" ref="P24:P24">INDEX(P$17:P$20,MATCH('Assessment Scorecard'!$F$5,$B$17:$B$20,0))</f>
        <v>1.51</v>
      </c>
      <c r="Q24" s="209"/>
      <c r="R24" s="209"/>
      <c r="S24" s="209"/>
      <c r="T24" s="209"/>
    </row>
    <row r="25" customFormat="false" ht="15.75" hidden="false" customHeight="false" outlineLevel="0" collapsed="false">
      <c r="A25" s="209"/>
      <c r="B25" s="228" t="s">
        <v>23</v>
      </c>
      <c r="C25" s="229"/>
      <c r="D25" s="229"/>
      <c r="E25" s="229"/>
      <c r="F25" s="229"/>
      <c r="G25" s="229"/>
      <c r="H25" s="229"/>
      <c r="I25" s="229"/>
      <c r="J25" s="229" t="n">
        <f aca="false">J23-J24</f>
        <v>1</v>
      </c>
      <c r="K25" s="229" t="n">
        <f aca="false">K23-K24</f>
        <v>0</v>
      </c>
      <c r="L25" s="229" t="n">
        <f aca="false">L23-L24</f>
        <v>1</v>
      </c>
      <c r="M25" s="229" t="n">
        <f aca="false">M23-M24</f>
        <v>1</v>
      </c>
      <c r="N25" s="229" t="n">
        <f aca="false">N23-N24</f>
        <v>1</v>
      </c>
      <c r="O25" s="229" t="n">
        <f aca="false">O23-O24</f>
        <v>1</v>
      </c>
      <c r="P25" s="230" t="n">
        <f aca="false">P23-P24</f>
        <v>1</v>
      </c>
      <c r="Q25" s="209"/>
      <c r="R25" s="209"/>
      <c r="S25" s="209"/>
      <c r="T25" s="209"/>
    </row>
    <row r="26" customFormat="false" ht="15.75" hidden="false" customHeight="false" outlineLevel="0" collapsed="false">
      <c r="A26" s="209"/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</row>
    <row r="27" customFormat="false" ht="15.75" hidden="false" customHeight="false" outlineLevel="0" collapsed="false">
      <c r="A27" s="209"/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</row>
    <row r="28" customFormat="false" ht="15.75" hidden="false" customHeight="false" outlineLevel="0" collapsed="false">
      <c r="A28" s="209"/>
      <c r="B28" s="209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</row>
    <row r="29" customFormat="false" ht="15.75" hidden="false" customHeight="false" outlineLevel="0" collapsed="false">
      <c r="A29" s="209"/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</row>
    <row r="30" customFormat="false" ht="15.75" hidden="false" customHeight="false" outlineLevel="0" collapsed="false">
      <c r="A30" s="209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</row>
    <row r="31" customFormat="false" ht="15.75" hidden="false" customHeight="false" outlineLevel="0" collapsed="false">
      <c r="A31" s="209"/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</row>
    <row r="32" customFormat="false" ht="15.75" hidden="false" customHeight="false" outlineLevel="0" collapsed="false">
      <c r="A32" s="209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</row>
    <row r="33" customFormat="false" ht="15.75" hidden="false" customHeight="false" outlineLevel="0" collapsed="false">
      <c r="A33" s="209"/>
      <c r="B33" s="209"/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</row>
    <row r="34" customFormat="false" ht="15.75" hidden="false" customHeight="false" outlineLevel="0" collapsed="false">
      <c r="A34" s="209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</row>
    <row r="35" customFormat="false" ht="15.75" hidden="false" customHeight="false" outlineLevel="0" collapsed="false">
      <c r="A35" s="209"/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</row>
    <row r="36" customFormat="false" ht="15.75" hidden="false" customHeight="false" outlineLevel="0" collapsed="false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</row>
    <row r="37" customFormat="false" ht="15.75" hidden="false" customHeight="false" outlineLevel="0" collapsed="false">
      <c r="A37" s="209"/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</row>
    <row r="38" customFormat="false" ht="15.75" hidden="false" customHeight="false" outlineLevel="0" collapsed="false">
      <c r="A38" s="209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</row>
    <row r="39" customFormat="false" ht="15.75" hidden="false" customHeight="false" outlineLevel="0" collapsed="false">
      <c r="A39" s="209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</row>
    <row r="40" customFormat="false" ht="15.75" hidden="false" customHeight="false" outlineLevel="0" collapsed="false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</row>
    <row r="41" customFormat="false" ht="15.75" hidden="false" customHeight="false" outlineLevel="0" collapsed="false">
      <c r="A41" s="209"/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</row>
    <row r="42" customFormat="false" ht="15.75" hidden="false" customHeight="false" outlineLevel="0" collapsed="false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</row>
    <row r="43" customFormat="false" ht="15.75" hidden="false" customHeight="false" outlineLevel="0" collapsed="false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</row>
    <row r="44" customFormat="false" ht="15.75" hidden="false" customHeight="false" outlineLevel="0" collapsed="false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</row>
    <row r="45" customFormat="false" ht="15.75" hidden="false" customHeight="false" outlineLevel="0" collapsed="false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</row>
    <row r="46" customFormat="false" ht="15.75" hidden="false" customHeight="false" outlineLevel="0" collapsed="false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</row>
    <row r="47" customFormat="false" ht="15.75" hidden="false" customHeight="false" outlineLevel="0" collapsed="false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</row>
    <row r="48" customFormat="false" ht="15.75" hidden="false" customHeight="false" outlineLevel="0" collapsed="false">
      <c r="A48" s="209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</row>
    <row r="49" customFormat="false" ht="15.75" hidden="false" customHeight="false" outlineLevel="0" collapsed="false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</row>
    <row r="50" customFormat="false" ht="15.75" hidden="false" customHeight="false" outlineLevel="0" collapsed="false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</row>
    <row r="51" customFormat="false" ht="15.75" hidden="false" customHeight="false" outlineLevel="0" collapsed="false">
      <c r="A51" s="209"/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</row>
    <row r="52" customFormat="false" ht="15.75" hidden="false" customHeight="false" outlineLevel="0" collapsed="false">
      <c r="A52" s="209"/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</row>
    <row r="53" customFormat="false" ht="15.75" hidden="false" customHeight="false" outlineLevel="0" collapsed="false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</row>
    <row r="54" customFormat="false" ht="15.75" hidden="false" customHeight="false" outlineLevel="0" collapsed="false">
      <c r="A54" s="209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</row>
    <row r="55" customFormat="false" ht="15.75" hidden="false" customHeight="false" outlineLevel="0" collapsed="false">
      <c r="A55" s="209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</row>
    <row r="56" customFormat="false" ht="15.75" hidden="false" customHeight="false" outlineLevel="0" collapsed="false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</row>
    <row r="57" customFormat="false" ht="15.75" hidden="false" customHeight="false" outlineLevel="0" collapsed="false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</row>
    <row r="58" customFormat="false" ht="15.75" hidden="false" customHeight="false" outlineLevel="0" collapsed="false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</row>
    <row r="59" customFormat="false" ht="15.75" hidden="false" customHeight="false" outlineLevel="0" collapsed="false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</row>
    <row r="60" customFormat="false" ht="15.75" hidden="false" customHeight="false" outlineLevel="0" collapsed="false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</row>
    <row r="61" customFormat="false" ht="15.75" hidden="false" customHeight="false" outlineLevel="0" collapsed="false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</row>
    <row r="62" customFormat="false" ht="15.75" hidden="false" customHeight="false" outlineLevel="0" collapsed="false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</row>
    <row r="63" customFormat="false" ht="15.75" hidden="false" customHeight="false" outlineLevel="0" collapsed="false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</row>
    <row r="64" customFormat="false" ht="15.75" hidden="false" customHeight="false" outlineLevel="0" collapsed="false">
      <c r="A64" s="209"/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</row>
    <row r="65" customFormat="false" ht="15.75" hidden="false" customHeight="false" outlineLevel="0" collapsed="false">
      <c r="A65" s="209"/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</row>
    <row r="66" customFormat="false" ht="15.75" hidden="false" customHeight="false" outlineLevel="0" collapsed="false">
      <c r="A66" s="209"/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</row>
    <row r="67" customFormat="false" ht="15.75" hidden="false" customHeight="false" outlineLevel="0" collapsed="false">
      <c r="A67" s="209"/>
      <c r="B67" s="209"/>
      <c r="C67" s="209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</row>
    <row r="68" customFormat="false" ht="15.75" hidden="false" customHeight="false" outlineLevel="0" collapsed="false">
      <c r="A68" s="209"/>
      <c r="B68" s="209"/>
      <c r="C68" s="209"/>
      <c r="D68" s="209"/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</row>
    <row r="69" customFormat="false" ht="15.75" hidden="false" customHeight="false" outlineLevel="0" collapsed="false">
      <c r="A69" s="209"/>
      <c r="B69" s="209"/>
      <c r="C69" s="209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</row>
    <row r="70" customFormat="false" ht="15.75" hidden="false" customHeight="false" outlineLevel="0" collapsed="false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</row>
    <row r="71" customFormat="false" ht="15.75" hidden="false" customHeight="false" outlineLevel="0" collapsed="false">
      <c r="A71" s="209"/>
      <c r="B71" s="209"/>
      <c r="C71" s="209"/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</row>
    <row r="72" customFormat="false" ht="15.75" hidden="false" customHeight="false" outlineLevel="0" collapsed="false">
      <c r="A72" s="209"/>
      <c r="B72" s="209"/>
      <c r="C72" s="209"/>
      <c r="D72" s="209"/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</row>
    <row r="73" customFormat="false" ht="15.75" hidden="false" customHeight="false" outlineLevel="0" collapsed="false">
      <c r="A73" s="209"/>
      <c r="B73" s="209"/>
      <c r="C73" s="209"/>
      <c r="D73" s="209"/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</row>
    <row r="74" customFormat="false" ht="15.75" hidden="false" customHeight="false" outlineLevel="0" collapsed="false">
      <c r="A74" s="209"/>
      <c r="B74" s="209"/>
      <c r="C74" s="209"/>
      <c r="D74" s="209"/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</row>
    <row r="75" customFormat="false" ht="15.75" hidden="false" customHeight="false" outlineLevel="0" collapsed="false">
      <c r="A75" s="209"/>
      <c r="B75" s="209"/>
      <c r="C75" s="209"/>
      <c r="D75" s="209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</row>
    <row r="76" customFormat="false" ht="15.75" hidden="false" customHeight="false" outlineLevel="0" collapsed="false">
      <c r="A76" s="209"/>
      <c r="B76" s="209"/>
      <c r="C76" s="209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</row>
    <row r="77" customFormat="false" ht="15.75" hidden="false" customHeight="false" outlineLevel="0" collapsed="false">
      <c r="A77" s="209"/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</row>
    <row r="78" customFormat="false" ht="15.75" hidden="false" customHeight="false" outlineLevel="0" collapsed="false">
      <c r="A78" s="209"/>
      <c r="B78" s="209"/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</row>
    <row r="79" customFormat="false" ht="15.75" hidden="false" customHeight="false" outlineLevel="0" collapsed="false">
      <c r="A79" s="209"/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</row>
    <row r="80" customFormat="false" ht="15.75" hidden="false" customHeight="false" outlineLevel="0" collapsed="false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</row>
    <row r="81" customFormat="false" ht="15.75" hidden="false" customHeight="false" outlineLevel="0" collapsed="false">
      <c r="A81" s="209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</row>
    <row r="82" customFormat="false" ht="15.75" hidden="false" customHeight="false" outlineLevel="0" collapsed="false">
      <c r="A82" s="209"/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</row>
    <row r="83" customFormat="false" ht="15.75" hidden="false" customHeight="false" outlineLevel="0" collapsed="false">
      <c r="A83" s="209"/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</row>
    <row r="84" customFormat="false" ht="15.75" hidden="false" customHeight="false" outlineLevel="0" collapsed="false">
      <c r="A84" s="209"/>
      <c r="B84" s="209"/>
      <c r="C84" s="209"/>
      <c r="D84" s="209"/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</row>
    <row r="85" customFormat="false" ht="15.75" hidden="false" customHeight="false" outlineLevel="0" collapsed="false">
      <c r="A85" s="209"/>
      <c r="B85" s="209"/>
      <c r="C85" s="209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</row>
    <row r="86" customFormat="false" ht="15.75" hidden="false" customHeight="false" outlineLevel="0" collapsed="false">
      <c r="A86" s="209"/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</row>
    <row r="87" customFormat="false" ht="15.75" hidden="false" customHeight="false" outlineLevel="0" collapsed="false">
      <c r="A87" s="209"/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</row>
    <row r="88" customFormat="false" ht="15.75" hidden="false" customHeight="false" outlineLevel="0" collapsed="false">
      <c r="A88" s="209"/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</row>
    <row r="89" customFormat="false" ht="15.75" hidden="false" customHeight="false" outlineLevel="0" collapsed="false">
      <c r="A89" s="209"/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</row>
    <row r="90" customFormat="false" ht="15.75" hidden="false" customHeight="false" outlineLevel="0" collapsed="false">
      <c r="A90" s="209"/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</row>
    <row r="91" customFormat="false" ht="15.75" hidden="false" customHeight="false" outlineLevel="0" collapsed="false">
      <c r="A91" s="209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</row>
    <row r="92" customFormat="false" ht="15.75" hidden="false" customHeight="false" outlineLevel="0" collapsed="false">
      <c r="A92" s="209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9"/>
    </row>
    <row r="93" customFormat="false" ht="15.75" hidden="false" customHeight="false" outlineLevel="0" collapsed="false">
      <c r="A93" s="209"/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</row>
    <row r="94" customFormat="false" ht="15.75" hidden="false" customHeight="false" outlineLevel="0" collapsed="false">
      <c r="A94" s="209"/>
      <c r="B94" s="209"/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</row>
    <row r="95" customFormat="false" ht="15.75" hidden="false" customHeight="false" outlineLevel="0" collapsed="false">
      <c r="A95" s="209"/>
      <c r="B95" s="209"/>
      <c r="C95" s="209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</row>
    <row r="96" customFormat="false" ht="15.75" hidden="false" customHeight="false" outlineLevel="0" collapsed="false">
      <c r="A96" s="209"/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</row>
    <row r="97" customFormat="false" ht="15.75" hidden="false" customHeight="false" outlineLevel="0" collapsed="false">
      <c r="A97" s="209"/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</row>
    <row r="98" customFormat="false" ht="15.75" hidden="false" customHeight="false" outlineLevel="0" collapsed="false">
      <c r="A98" s="209"/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</row>
    <row r="99" customFormat="false" ht="15.75" hidden="false" customHeight="false" outlineLevel="0" collapsed="false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</row>
    <row r="100" customFormat="false" ht="15.75" hidden="false" customHeight="false" outlineLevel="0" collapsed="false">
      <c r="A100" s="209"/>
      <c r="B100" s="209"/>
      <c r="C100" s="209"/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</row>
    <row r="101" customFormat="false" ht="15.75" hidden="false" customHeight="false" outlineLevel="0" collapsed="false">
      <c r="A101" s="209"/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</row>
    <row r="102" customFormat="false" ht="15.75" hidden="false" customHeight="false" outlineLevel="0" collapsed="false">
      <c r="A102" s="209"/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</row>
    <row r="103" customFormat="false" ht="15.75" hidden="false" customHeight="false" outlineLevel="0" collapsed="false">
      <c r="A103" s="209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</row>
    <row r="104" customFormat="false" ht="15.75" hidden="false" customHeight="false" outlineLevel="0" collapsed="false">
      <c r="A104" s="209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</row>
    <row r="105" customFormat="false" ht="15.75" hidden="false" customHeight="false" outlineLevel="0" collapsed="false">
      <c r="A105" s="209"/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</row>
    <row r="106" customFormat="false" ht="15.75" hidden="false" customHeight="false" outlineLevel="0" collapsed="false">
      <c r="A106" s="209"/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</row>
    <row r="107" customFormat="false" ht="15.75" hidden="false" customHeight="false" outlineLevel="0" collapsed="false">
      <c r="A107" s="209"/>
      <c r="B107" s="209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</row>
    <row r="108" customFormat="false" ht="15.75" hidden="false" customHeight="false" outlineLevel="0" collapsed="false">
      <c r="A108" s="209"/>
      <c r="B108" s="209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</row>
    <row r="109" customFormat="false" ht="15.75" hidden="false" customHeight="false" outlineLevel="0" collapsed="false">
      <c r="A109" s="209"/>
      <c r="B109" s="209"/>
      <c r="C109" s="209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</row>
    <row r="110" customFormat="false" ht="15.75" hidden="false" customHeight="false" outlineLevel="0" collapsed="false">
      <c r="A110" s="209"/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</row>
    <row r="111" customFormat="false" ht="15.75" hidden="false" customHeight="false" outlineLevel="0" collapsed="false">
      <c r="A111" s="209"/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</row>
    <row r="112" customFormat="false" ht="15.75" hidden="false" customHeight="false" outlineLevel="0" collapsed="false">
      <c r="A112" s="209"/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</row>
    <row r="113" customFormat="false" ht="15.75" hidden="false" customHeight="false" outlineLevel="0" collapsed="false">
      <c r="A113" s="209"/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</row>
    <row r="114" customFormat="false" ht="15.75" hidden="false" customHeight="false" outlineLevel="0" collapsed="false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</row>
    <row r="115" customFormat="false" ht="15.75" hidden="false" customHeight="false" outlineLevel="0" collapsed="false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</row>
    <row r="116" customFormat="false" ht="15.75" hidden="false" customHeight="false" outlineLevel="0" collapsed="false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</row>
    <row r="117" customFormat="false" ht="15.75" hidden="false" customHeight="false" outlineLevel="0" collapsed="false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</row>
    <row r="118" customFormat="false" ht="15.75" hidden="false" customHeight="false" outlineLevel="0" collapsed="false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</row>
    <row r="119" customFormat="false" ht="15.75" hidden="false" customHeight="false" outlineLevel="0" collapsed="false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</row>
    <row r="120" customFormat="false" ht="15.75" hidden="false" customHeight="false" outlineLevel="0" collapsed="false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</row>
    <row r="121" customFormat="false" ht="15.75" hidden="false" customHeight="false" outlineLevel="0" collapsed="false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</row>
    <row r="122" customFormat="false" ht="15.75" hidden="false" customHeight="false" outlineLevel="0" collapsed="false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</row>
    <row r="123" customFormat="false" ht="15.75" hidden="false" customHeight="false" outlineLevel="0" collapsed="false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</row>
    <row r="124" customFormat="false" ht="15.75" hidden="false" customHeight="false" outlineLevel="0" collapsed="false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</row>
    <row r="125" customFormat="false" ht="15.75" hidden="false" customHeight="false" outlineLevel="0" collapsed="false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</row>
    <row r="126" customFormat="false" ht="15.75" hidden="false" customHeight="false" outlineLevel="0" collapsed="false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</row>
    <row r="127" customFormat="false" ht="15.75" hidden="false" customHeight="false" outlineLevel="0" collapsed="false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</row>
    <row r="128" customFormat="false" ht="15.75" hidden="false" customHeight="false" outlineLevel="0" collapsed="false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</row>
    <row r="129" customFormat="false" ht="15.75" hidden="false" customHeight="false" outlineLevel="0" collapsed="false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</row>
    <row r="130" customFormat="false" ht="15.75" hidden="false" customHeight="false" outlineLevel="0" collapsed="false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</row>
    <row r="131" customFormat="false" ht="15.75" hidden="false" customHeight="false" outlineLevel="0" collapsed="false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</row>
    <row r="132" customFormat="false" ht="15.75" hidden="false" customHeight="false" outlineLevel="0" collapsed="false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</row>
    <row r="133" customFormat="false" ht="15.75" hidden="false" customHeight="false" outlineLevel="0" collapsed="false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</row>
    <row r="134" customFormat="false" ht="15.75" hidden="false" customHeight="false" outlineLevel="0" collapsed="false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</row>
    <row r="135" customFormat="false" ht="15.75" hidden="false" customHeight="false" outlineLevel="0" collapsed="false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</row>
    <row r="136" customFormat="false" ht="15.75" hidden="false" customHeight="false" outlineLevel="0" collapsed="false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</row>
    <row r="137" customFormat="false" ht="15.75" hidden="false" customHeight="false" outlineLevel="0" collapsed="false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</row>
    <row r="138" customFormat="false" ht="15.75" hidden="false" customHeight="false" outlineLevel="0" collapsed="false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</row>
    <row r="139" customFormat="false" ht="15.75" hidden="false" customHeight="false" outlineLevel="0" collapsed="false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</row>
    <row r="140" customFormat="false" ht="15.75" hidden="false" customHeight="false" outlineLevel="0" collapsed="false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</row>
    <row r="141" customFormat="false" ht="15.75" hidden="false" customHeight="false" outlineLevel="0" collapsed="false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</row>
    <row r="142" customFormat="false" ht="15.75" hidden="false" customHeight="false" outlineLevel="0" collapsed="false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</row>
    <row r="143" customFormat="false" ht="15.75" hidden="false" customHeight="false" outlineLevel="0" collapsed="false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</row>
    <row r="144" customFormat="false" ht="15.75" hidden="false" customHeight="false" outlineLevel="0" collapsed="false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</row>
    <row r="145" customFormat="false" ht="15.75" hidden="false" customHeight="false" outlineLevel="0" collapsed="false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</row>
    <row r="146" customFormat="false" ht="15.75" hidden="false" customHeight="false" outlineLevel="0" collapsed="false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</row>
    <row r="147" customFormat="false" ht="15.75" hidden="false" customHeight="false" outlineLevel="0" collapsed="false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</row>
    <row r="148" customFormat="false" ht="15.75" hidden="false" customHeight="false" outlineLevel="0" collapsed="false">
      <c r="A148" s="209"/>
      <c r="B148" s="209"/>
      <c r="C148" s="209"/>
      <c r="D148" s="209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</row>
    <row r="149" customFormat="false" ht="15.75" hidden="false" customHeight="false" outlineLevel="0" collapsed="false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</row>
    <row r="150" customFormat="false" ht="15.75" hidden="false" customHeight="false" outlineLevel="0" collapsed="false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</row>
    <row r="151" customFormat="false" ht="15.75" hidden="false" customHeight="false" outlineLevel="0" collapsed="false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</row>
    <row r="152" customFormat="false" ht="15.75" hidden="false" customHeight="false" outlineLevel="0" collapsed="false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</row>
    <row r="153" customFormat="false" ht="15.75" hidden="false" customHeight="false" outlineLevel="0" collapsed="false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</row>
    <row r="154" customFormat="false" ht="15.75" hidden="false" customHeight="false" outlineLevel="0" collapsed="false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</row>
    <row r="155" customFormat="false" ht="15.75" hidden="false" customHeight="false" outlineLevel="0" collapsed="false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</row>
    <row r="156" customFormat="false" ht="15.75" hidden="false" customHeight="false" outlineLevel="0" collapsed="false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</row>
    <row r="157" customFormat="false" ht="15.75" hidden="false" customHeight="false" outlineLevel="0" collapsed="false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</row>
    <row r="158" customFormat="false" ht="15.75" hidden="false" customHeight="false" outlineLevel="0" collapsed="false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</row>
    <row r="159" customFormat="false" ht="15.75" hidden="false" customHeight="false" outlineLevel="0" collapsed="false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</row>
    <row r="160" customFormat="false" ht="15.75" hidden="false" customHeight="false" outlineLevel="0" collapsed="false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</row>
    <row r="161" customFormat="false" ht="15.75" hidden="false" customHeight="false" outlineLevel="0" collapsed="false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</row>
    <row r="162" customFormat="false" ht="15.75" hidden="false" customHeight="false" outlineLevel="0" collapsed="false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</row>
    <row r="163" customFormat="false" ht="15.75" hidden="false" customHeight="false" outlineLevel="0" collapsed="false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</row>
    <row r="164" customFormat="false" ht="15.75" hidden="false" customHeight="false" outlineLevel="0" collapsed="false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</row>
    <row r="165" customFormat="false" ht="15.75" hidden="false" customHeight="false" outlineLevel="0" collapsed="false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</row>
    <row r="166" customFormat="false" ht="15.75" hidden="false" customHeight="false" outlineLevel="0" collapsed="false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</row>
    <row r="167" customFormat="false" ht="15.75" hidden="false" customHeight="false" outlineLevel="0" collapsed="false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</row>
    <row r="168" customFormat="false" ht="15.75" hidden="false" customHeight="false" outlineLevel="0" collapsed="false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</row>
    <row r="169" customFormat="false" ht="15.75" hidden="false" customHeight="false" outlineLevel="0" collapsed="false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</row>
    <row r="170" customFormat="false" ht="15.75" hidden="false" customHeight="false" outlineLevel="0" collapsed="false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</row>
    <row r="171" customFormat="false" ht="15.75" hidden="false" customHeight="false" outlineLevel="0" collapsed="false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</row>
    <row r="172" customFormat="false" ht="15.75" hidden="false" customHeight="false" outlineLevel="0" collapsed="false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</row>
    <row r="173" customFormat="false" ht="15.75" hidden="false" customHeight="false" outlineLevel="0" collapsed="false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</row>
    <row r="174" customFormat="false" ht="15.75" hidden="false" customHeight="false" outlineLevel="0" collapsed="false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</row>
    <row r="175" customFormat="false" ht="15.75" hidden="false" customHeight="false" outlineLevel="0" collapsed="false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</row>
    <row r="176" customFormat="false" ht="15.75" hidden="false" customHeight="false" outlineLevel="0" collapsed="false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</row>
    <row r="177" customFormat="false" ht="15.75" hidden="false" customHeight="false" outlineLevel="0" collapsed="false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</row>
    <row r="178" customFormat="false" ht="15.75" hidden="false" customHeight="false" outlineLevel="0" collapsed="false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</row>
    <row r="179" customFormat="false" ht="15.75" hidden="false" customHeight="false" outlineLevel="0" collapsed="false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</row>
    <row r="180" customFormat="false" ht="15.75" hidden="false" customHeight="false" outlineLevel="0" collapsed="false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</row>
    <row r="181" customFormat="false" ht="15.75" hidden="false" customHeight="false" outlineLevel="0" collapsed="false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</row>
    <row r="182" customFormat="false" ht="15.75" hidden="false" customHeight="false" outlineLevel="0" collapsed="false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</row>
    <row r="183" customFormat="false" ht="15.75" hidden="false" customHeight="false" outlineLevel="0" collapsed="false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</row>
    <row r="184" customFormat="false" ht="15.75" hidden="false" customHeight="false" outlineLevel="0" collapsed="false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</row>
    <row r="185" customFormat="false" ht="15.75" hidden="false" customHeight="false" outlineLevel="0" collapsed="false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</row>
    <row r="186" customFormat="false" ht="15.75" hidden="false" customHeight="false" outlineLevel="0" collapsed="false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</row>
    <row r="187" customFormat="false" ht="15.75" hidden="false" customHeight="false" outlineLevel="0" collapsed="false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</row>
    <row r="188" customFormat="false" ht="15.75" hidden="false" customHeight="false" outlineLevel="0" collapsed="false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</row>
    <row r="189" customFormat="false" ht="15.75" hidden="false" customHeight="false" outlineLevel="0" collapsed="false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</row>
    <row r="190" customFormat="false" ht="15.75" hidden="false" customHeight="false" outlineLevel="0" collapsed="false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</row>
    <row r="191" customFormat="false" ht="15.75" hidden="false" customHeight="false" outlineLevel="0" collapsed="false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</row>
    <row r="192" customFormat="false" ht="15.75" hidden="false" customHeight="false" outlineLevel="0" collapsed="false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</row>
    <row r="193" customFormat="false" ht="15.75" hidden="false" customHeight="false" outlineLevel="0" collapsed="false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</row>
    <row r="194" customFormat="false" ht="15.75" hidden="false" customHeight="false" outlineLevel="0" collapsed="false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</row>
    <row r="195" customFormat="false" ht="15.75" hidden="false" customHeight="false" outlineLevel="0" collapsed="false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</row>
    <row r="196" customFormat="false" ht="15.75" hidden="false" customHeight="false" outlineLevel="0" collapsed="false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</row>
    <row r="197" customFormat="false" ht="15.75" hidden="false" customHeight="false" outlineLevel="0" collapsed="false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</row>
    <row r="198" customFormat="false" ht="15.75" hidden="false" customHeight="false" outlineLevel="0" collapsed="false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</row>
    <row r="199" customFormat="false" ht="15.75" hidden="false" customHeight="false" outlineLevel="0" collapsed="false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</row>
    <row r="200" customFormat="false" ht="15.75" hidden="false" customHeight="false" outlineLevel="0" collapsed="false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</row>
    <row r="201" customFormat="false" ht="15.75" hidden="false" customHeight="false" outlineLevel="0" collapsed="false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</row>
    <row r="202" customFormat="false" ht="15.75" hidden="false" customHeight="false" outlineLevel="0" collapsed="false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</row>
    <row r="203" customFormat="false" ht="15.75" hidden="false" customHeight="false" outlineLevel="0" collapsed="false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</row>
    <row r="204" customFormat="false" ht="15.75" hidden="false" customHeight="false" outlineLevel="0" collapsed="false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</row>
    <row r="205" customFormat="false" ht="15.75" hidden="false" customHeight="false" outlineLevel="0" collapsed="false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</row>
    <row r="206" customFormat="false" ht="15.75" hidden="false" customHeight="false" outlineLevel="0" collapsed="false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</row>
    <row r="207" customFormat="false" ht="15.75" hidden="false" customHeight="false" outlineLevel="0" collapsed="false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</row>
    <row r="208" customFormat="false" ht="15.75" hidden="false" customHeight="false" outlineLevel="0" collapsed="false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</row>
    <row r="209" customFormat="false" ht="15.75" hidden="false" customHeight="false" outlineLevel="0" collapsed="false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</row>
    <row r="210" customFormat="false" ht="15.75" hidden="false" customHeight="false" outlineLevel="0" collapsed="false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</row>
    <row r="211" customFormat="false" ht="15.75" hidden="false" customHeight="false" outlineLevel="0" collapsed="false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</row>
    <row r="212" customFormat="false" ht="15.75" hidden="false" customHeight="false" outlineLevel="0" collapsed="false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</row>
    <row r="213" customFormat="false" ht="15.75" hidden="false" customHeight="false" outlineLevel="0" collapsed="false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</row>
    <row r="214" customFormat="false" ht="15.75" hidden="false" customHeight="false" outlineLevel="0" collapsed="false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</row>
    <row r="215" customFormat="false" ht="15.75" hidden="false" customHeight="false" outlineLevel="0" collapsed="false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</row>
    <row r="216" customFormat="false" ht="15.75" hidden="false" customHeight="false" outlineLevel="0" collapsed="false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</row>
    <row r="217" customFormat="false" ht="15.75" hidden="false" customHeight="false" outlineLevel="0" collapsed="false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</row>
    <row r="218" customFormat="false" ht="15.75" hidden="false" customHeight="false" outlineLevel="0" collapsed="false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</row>
    <row r="219" customFormat="false" ht="15.75" hidden="false" customHeight="false" outlineLevel="0" collapsed="false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</row>
    <row r="220" customFormat="false" ht="15.75" hidden="false" customHeight="false" outlineLevel="0" collapsed="false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</row>
    <row r="221" customFormat="false" ht="15.75" hidden="false" customHeight="false" outlineLevel="0" collapsed="false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</row>
    <row r="222" customFormat="false" ht="15.75" hidden="false" customHeight="false" outlineLevel="0" collapsed="false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</row>
    <row r="223" customFormat="false" ht="15.75" hidden="false" customHeight="false" outlineLevel="0" collapsed="false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</row>
    <row r="224" customFormat="false" ht="15.75" hidden="false" customHeight="false" outlineLevel="0" collapsed="false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</row>
    <row r="225" customFormat="false" ht="15.75" hidden="false" customHeight="false" outlineLevel="0" collapsed="false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</row>
    <row r="226" customFormat="false" ht="15.75" hidden="false" customHeight="false" outlineLevel="0" collapsed="false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</row>
    <row r="227" customFormat="false" ht="15.75" hidden="false" customHeight="false" outlineLevel="0" collapsed="false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</row>
    <row r="228" customFormat="false" ht="15.75" hidden="false" customHeight="false" outlineLevel="0" collapsed="false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</row>
    <row r="229" customFormat="false" ht="15.75" hidden="false" customHeight="false" outlineLevel="0" collapsed="false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</row>
    <row r="230" customFormat="false" ht="15.75" hidden="false" customHeight="false" outlineLevel="0" collapsed="false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</row>
    <row r="231" customFormat="false" ht="15.75" hidden="false" customHeight="false" outlineLevel="0" collapsed="false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</row>
    <row r="232" customFormat="false" ht="15.75" hidden="false" customHeight="false" outlineLevel="0" collapsed="false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</row>
    <row r="233" customFormat="false" ht="15.75" hidden="false" customHeight="false" outlineLevel="0" collapsed="false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</row>
    <row r="234" customFormat="false" ht="15.75" hidden="false" customHeight="false" outlineLevel="0" collapsed="false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</row>
    <row r="235" customFormat="false" ht="15.75" hidden="false" customHeight="false" outlineLevel="0" collapsed="false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</row>
    <row r="236" customFormat="false" ht="15.75" hidden="false" customHeight="false" outlineLevel="0" collapsed="false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</row>
    <row r="237" customFormat="false" ht="15.75" hidden="false" customHeight="false" outlineLevel="0" collapsed="false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</row>
    <row r="238" customFormat="false" ht="15.75" hidden="false" customHeight="false" outlineLevel="0" collapsed="false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</row>
    <row r="239" customFormat="false" ht="15.75" hidden="false" customHeight="false" outlineLevel="0" collapsed="false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</row>
    <row r="240" customFormat="false" ht="15.75" hidden="false" customHeight="false" outlineLevel="0" collapsed="false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</row>
    <row r="241" customFormat="false" ht="15.75" hidden="false" customHeight="false" outlineLevel="0" collapsed="false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</row>
    <row r="242" customFormat="false" ht="15.75" hidden="false" customHeight="false" outlineLevel="0" collapsed="false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</row>
    <row r="243" customFormat="false" ht="15.75" hidden="false" customHeight="false" outlineLevel="0" collapsed="false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</row>
    <row r="244" customFormat="false" ht="15.75" hidden="false" customHeight="false" outlineLevel="0" collapsed="false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</row>
    <row r="245" customFormat="false" ht="15.75" hidden="false" customHeight="false" outlineLevel="0" collapsed="false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</row>
    <row r="246" customFormat="false" ht="15.75" hidden="false" customHeight="false" outlineLevel="0" collapsed="false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</row>
    <row r="247" customFormat="false" ht="15.75" hidden="false" customHeight="false" outlineLevel="0" collapsed="false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</row>
    <row r="248" customFormat="false" ht="15.75" hidden="false" customHeight="false" outlineLevel="0" collapsed="false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</row>
    <row r="249" customFormat="false" ht="15.75" hidden="false" customHeight="false" outlineLevel="0" collapsed="false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</row>
    <row r="250" customFormat="false" ht="15.75" hidden="false" customHeight="false" outlineLevel="0" collapsed="false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</row>
    <row r="251" customFormat="false" ht="15.75" hidden="false" customHeight="false" outlineLevel="0" collapsed="false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</row>
    <row r="252" customFormat="false" ht="15.75" hidden="false" customHeight="false" outlineLevel="0" collapsed="false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</row>
    <row r="253" customFormat="false" ht="15.75" hidden="false" customHeight="false" outlineLevel="0" collapsed="false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</row>
    <row r="254" customFormat="false" ht="15.75" hidden="false" customHeight="false" outlineLevel="0" collapsed="false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</row>
    <row r="255" customFormat="false" ht="15.75" hidden="false" customHeight="false" outlineLevel="0" collapsed="false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</row>
    <row r="256" customFormat="false" ht="15.75" hidden="false" customHeight="false" outlineLevel="0" collapsed="false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</row>
    <row r="257" customFormat="false" ht="15.75" hidden="false" customHeight="false" outlineLevel="0" collapsed="false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</row>
    <row r="258" customFormat="false" ht="15.75" hidden="false" customHeight="false" outlineLevel="0" collapsed="false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</row>
    <row r="259" customFormat="false" ht="15.75" hidden="false" customHeight="false" outlineLevel="0" collapsed="false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</row>
    <row r="260" customFormat="false" ht="15.75" hidden="false" customHeight="false" outlineLevel="0" collapsed="false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</row>
    <row r="261" customFormat="false" ht="15.75" hidden="false" customHeight="false" outlineLevel="0" collapsed="false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</row>
    <row r="262" customFormat="false" ht="15.75" hidden="false" customHeight="false" outlineLevel="0" collapsed="false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</row>
    <row r="263" customFormat="false" ht="15.75" hidden="false" customHeight="false" outlineLevel="0" collapsed="false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</row>
    <row r="264" customFormat="false" ht="15.75" hidden="false" customHeight="false" outlineLevel="0" collapsed="false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</row>
    <row r="265" customFormat="false" ht="15.75" hidden="false" customHeight="false" outlineLevel="0" collapsed="false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</row>
    <row r="266" customFormat="false" ht="15.75" hidden="false" customHeight="false" outlineLevel="0" collapsed="false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</row>
    <row r="267" customFormat="false" ht="15.75" hidden="false" customHeight="false" outlineLevel="0" collapsed="false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</row>
    <row r="268" customFormat="false" ht="15.75" hidden="false" customHeight="false" outlineLevel="0" collapsed="false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</row>
    <row r="269" customFormat="false" ht="15.75" hidden="false" customHeight="false" outlineLevel="0" collapsed="false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</row>
    <row r="270" customFormat="false" ht="15.75" hidden="false" customHeight="false" outlineLevel="0" collapsed="false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</row>
    <row r="271" customFormat="false" ht="15.75" hidden="false" customHeight="false" outlineLevel="0" collapsed="false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</row>
    <row r="272" customFormat="false" ht="15.75" hidden="false" customHeight="false" outlineLevel="0" collapsed="false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</row>
    <row r="273" customFormat="false" ht="15.75" hidden="false" customHeight="false" outlineLevel="0" collapsed="false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</row>
    <row r="274" customFormat="false" ht="15.75" hidden="false" customHeight="false" outlineLevel="0" collapsed="false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</row>
    <row r="275" customFormat="false" ht="15.75" hidden="false" customHeight="false" outlineLevel="0" collapsed="false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</row>
    <row r="276" customFormat="false" ht="15.75" hidden="false" customHeight="false" outlineLevel="0" collapsed="false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</row>
    <row r="277" customFormat="false" ht="15.75" hidden="false" customHeight="false" outlineLevel="0" collapsed="false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</row>
    <row r="278" customFormat="false" ht="15.75" hidden="false" customHeight="false" outlineLevel="0" collapsed="false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</row>
    <row r="279" customFormat="false" ht="15.75" hidden="false" customHeight="false" outlineLevel="0" collapsed="false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</row>
    <row r="280" customFormat="false" ht="15.75" hidden="false" customHeight="false" outlineLevel="0" collapsed="false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</row>
    <row r="281" customFormat="false" ht="15.75" hidden="false" customHeight="false" outlineLevel="0" collapsed="false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</row>
    <row r="282" customFormat="false" ht="15.75" hidden="false" customHeight="false" outlineLevel="0" collapsed="false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</row>
    <row r="283" customFormat="false" ht="15.75" hidden="false" customHeight="false" outlineLevel="0" collapsed="false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</row>
    <row r="284" customFormat="false" ht="15.75" hidden="false" customHeight="false" outlineLevel="0" collapsed="false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</row>
    <row r="285" customFormat="false" ht="15.75" hidden="false" customHeight="false" outlineLevel="0" collapsed="false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</row>
    <row r="286" customFormat="false" ht="15.75" hidden="false" customHeight="false" outlineLevel="0" collapsed="false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</row>
    <row r="287" customFormat="false" ht="15.75" hidden="false" customHeight="false" outlineLevel="0" collapsed="false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</row>
    <row r="288" customFormat="false" ht="15.75" hidden="false" customHeight="false" outlineLevel="0" collapsed="false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</row>
    <row r="289" customFormat="false" ht="15.75" hidden="false" customHeight="false" outlineLevel="0" collapsed="false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</row>
    <row r="290" customFormat="false" ht="15.75" hidden="false" customHeight="false" outlineLevel="0" collapsed="false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</row>
    <row r="291" customFormat="false" ht="15.75" hidden="false" customHeight="false" outlineLevel="0" collapsed="false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</row>
    <row r="292" customFormat="false" ht="15.75" hidden="false" customHeight="false" outlineLevel="0" collapsed="false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</row>
    <row r="293" customFormat="false" ht="15.75" hidden="false" customHeight="false" outlineLevel="0" collapsed="false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</row>
    <row r="294" customFormat="false" ht="15.75" hidden="false" customHeight="false" outlineLevel="0" collapsed="false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</row>
    <row r="295" customFormat="false" ht="15.75" hidden="false" customHeight="false" outlineLevel="0" collapsed="false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</row>
    <row r="296" customFormat="false" ht="15.75" hidden="false" customHeight="false" outlineLevel="0" collapsed="false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</row>
    <row r="297" customFormat="false" ht="15.75" hidden="false" customHeight="false" outlineLevel="0" collapsed="false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</row>
    <row r="298" customFormat="false" ht="15.75" hidden="false" customHeight="false" outlineLevel="0" collapsed="false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</row>
    <row r="299" customFormat="false" ht="15.75" hidden="false" customHeight="false" outlineLevel="0" collapsed="false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</row>
    <row r="300" customFormat="false" ht="15.75" hidden="false" customHeight="false" outlineLevel="0" collapsed="false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</row>
    <row r="301" customFormat="false" ht="15.75" hidden="false" customHeight="false" outlineLevel="0" collapsed="false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</row>
    <row r="302" customFormat="false" ht="15.75" hidden="false" customHeight="false" outlineLevel="0" collapsed="false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</row>
    <row r="303" customFormat="false" ht="15.75" hidden="false" customHeight="false" outlineLevel="0" collapsed="false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</row>
    <row r="304" customFormat="false" ht="15.75" hidden="false" customHeight="false" outlineLevel="0" collapsed="false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</row>
    <row r="305" customFormat="false" ht="15.75" hidden="false" customHeight="false" outlineLevel="0" collapsed="false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</row>
    <row r="306" customFormat="false" ht="15.75" hidden="false" customHeight="false" outlineLevel="0" collapsed="false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</row>
    <row r="307" customFormat="false" ht="15.75" hidden="false" customHeight="false" outlineLevel="0" collapsed="false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</row>
    <row r="308" customFormat="false" ht="15.75" hidden="false" customHeight="false" outlineLevel="0" collapsed="false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</row>
    <row r="309" customFormat="false" ht="15.75" hidden="false" customHeight="false" outlineLevel="0" collapsed="false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</row>
    <row r="310" customFormat="false" ht="15.75" hidden="false" customHeight="false" outlineLevel="0" collapsed="false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</row>
    <row r="311" customFormat="false" ht="15.75" hidden="false" customHeight="false" outlineLevel="0" collapsed="false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</row>
    <row r="312" customFormat="false" ht="15.75" hidden="false" customHeight="false" outlineLevel="0" collapsed="false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</row>
    <row r="313" customFormat="false" ht="15.75" hidden="false" customHeight="false" outlineLevel="0" collapsed="false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</row>
    <row r="314" customFormat="false" ht="15.75" hidden="false" customHeight="false" outlineLevel="0" collapsed="false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</row>
    <row r="315" customFormat="false" ht="15.75" hidden="false" customHeight="false" outlineLevel="0" collapsed="false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</row>
    <row r="316" customFormat="false" ht="15.75" hidden="false" customHeight="false" outlineLevel="0" collapsed="false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</row>
    <row r="317" customFormat="false" ht="15.75" hidden="false" customHeight="false" outlineLevel="0" collapsed="false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</row>
    <row r="318" customFormat="false" ht="15.75" hidden="false" customHeight="false" outlineLevel="0" collapsed="false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</row>
    <row r="319" customFormat="false" ht="15.75" hidden="false" customHeight="false" outlineLevel="0" collapsed="false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</row>
    <row r="320" customFormat="false" ht="15.75" hidden="false" customHeight="false" outlineLevel="0" collapsed="false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</row>
    <row r="321" customFormat="false" ht="15.75" hidden="false" customHeight="false" outlineLevel="0" collapsed="false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</row>
    <row r="322" customFormat="false" ht="15.75" hidden="false" customHeight="false" outlineLevel="0" collapsed="false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</row>
    <row r="323" customFormat="false" ht="15.75" hidden="false" customHeight="false" outlineLevel="0" collapsed="false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</row>
    <row r="324" customFormat="false" ht="15.75" hidden="false" customHeight="false" outlineLevel="0" collapsed="false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</row>
    <row r="325" customFormat="false" ht="15.75" hidden="false" customHeight="false" outlineLevel="0" collapsed="false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</row>
    <row r="326" customFormat="false" ht="15.75" hidden="false" customHeight="false" outlineLevel="0" collapsed="false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</row>
    <row r="327" customFormat="false" ht="15.75" hidden="false" customHeight="false" outlineLevel="0" collapsed="false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</row>
    <row r="328" customFormat="false" ht="15.75" hidden="false" customHeight="false" outlineLevel="0" collapsed="false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</row>
    <row r="329" customFormat="false" ht="15.75" hidden="false" customHeight="false" outlineLevel="0" collapsed="false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</row>
    <row r="330" customFormat="false" ht="15.75" hidden="false" customHeight="false" outlineLevel="0" collapsed="false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</row>
    <row r="331" customFormat="false" ht="15.75" hidden="false" customHeight="false" outlineLevel="0" collapsed="false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</row>
    <row r="332" customFormat="false" ht="15.75" hidden="false" customHeight="false" outlineLevel="0" collapsed="false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</row>
    <row r="333" customFormat="false" ht="15.75" hidden="false" customHeight="false" outlineLevel="0" collapsed="false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</row>
    <row r="334" customFormat="false" ht="15.75" hidden="false" customHeight="false" outlineLevel="0" collapsed="false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</row>
    <row r="335" customFormat="false" ht="15.75" hidden="false" customHeight="false" outlineLevel="0" collapsed="false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</row>
    <row r="336" customFormat="false" ht="15.75" hidden="false" customHeight="false" outlineLevel="0" collapsed="false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</row>
    <row r="337" customFormat="false" ht="15.75" hidden="false" customHeight="false" outlineLevel="0" collapsed="false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</row>
    <row r="338" customFormat="false" ht="15.75" hidden="false" customHeight="false" outlineLevel="0" collapsed="false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</row>
    <row r="339" customFormat="false" ht="15.75" hidden="false" customHeight="false" outlineLevel="0" collapsed="false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</row>
    <row r="340" customFormat="false" ht="15.75" hidden="false" customHeight="false" outlineLevel="0" collapsed="false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</row>
    <row r="341" customFormat="false" ht="15.75" hidden="false" customHeight="false" outlineLevel="0" collapsed="false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</row>
    <row r="342" customFormat="false" ht="15.75" hidden="false" customHeight="false" outlineLevel="0" collapsed="false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</row>
    <row r="343" customFormat="false" ht="15.75" hidden="false" customHeight="false" outlineLevel="0" collapsed="false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</row>
    <row r="344" customFormat="false" ht="15.75" hidden="false" customHeight="false" outlineLevel="0" collapsed="false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</row>
    <row r="345" customFormat="false" ht="15.75" hidden="false" customHeight="false" outlineLevel="0" collapsed="false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</row>
    <row r="346" customFormat="false" ht="15.75" hidden="false" customHeight="false" outlineLevel="0" collapsed="false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</row>
    <row r="347" customFormat="false" ht="15.75" hidden="false" customHeight="false" outlineLevel="0" collapsed="false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</row>
    <row r="348" customFormat="false" ht="15.75" hidden="false" customHeight="false" outlineLevel="0" collapsed="false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</row>
    <row r="349" customFormat="false" ht="15.75" hidden="false" customHeight="false" outlineLevel="0" collapsed="false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</row>
    <row r="350" customFormat="false" ht="15.75" hidden="false" customHeight="false" outlineLevel="0" collapsed="false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</row>
    <row r="351" customFormat="false" ht="15.75" hidden="false" customHeight="false" outlineLevel="0" collapsed="false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</row>
    <row r="352" customFormat="false" ht="15.75" hidden="false" customHeight="false" outlineLevel="0" collapsed="false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</row>
    <row r="353" customFormat="false" ht="15.75" hidden="false" customHeight="false" outlineLevel="0" collapsed="false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</row>
    <row r="354" customFormat="false" ht="15.75" hidden="false" customHeight="false" outlineLevel="0" collapsed="false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</row>
    <row r="355" customFormat="false" ht="15.75" hidden="false" customHeight="false" outlineLevel="0" collapsed="false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</row>
    <row r="356" customFormat="false" ht="15.75" hidden="false" customHeight="false" outlineLevel="0" collapsed="false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</row>
    <row r="357" customFormat="false" ht="15.75" hidden="false" customHeight="false" outlineLevel="0" collapsed="false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</row>
    <row r="358" customFormat="false" ht="15.75" hidden="false" customHeight="false" outlineLevel="0" collapsed="false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</row>
    <row r="359" customFormat="false" ht="15.75" hidden="false" customHeight="false" outlineLevel="0" collapsed="false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</row>
    <row r="360" customFormat="false" ht="15.75" hidden="false" customHeight="false" outlineLevel="0" collapsed="false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</row>
    <row r="361" customFormat="false" ht="15.75" hidden="false" customHeight="false" outlineLevel="0" collapsed="false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</row>
    <row r="362" customFormat="false" ht="15.75" hidden="false" customHeight="false" outlineLevel="0" collapsed="false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</row>
    <row r="363" customFormat="false" ht="15.75" hidden="false" customHeight="false" outlineLevel="0" collapsed="false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</row>
    <row r="364" customFormat="false" ht="15.75" hidden="false" customHeight="false" outlineLevel="0" collapsed="false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</row>
    <row r="365" customFormat="false" ht="15.75" hidden="false" customHeight="false" outlineLevel="0" collapsed="false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</row>
    <row r="366" customFormat="false" ht="15.75" hidden="false" customHeight="false" outlineLevel="0" collapsed="false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</row>
    <row r="367" customFormat="false" ht="15.75" hidden="false" customHeight="false" outlineLevel="0" collapsed="false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</row>
    <row r="368" customFormat="false" ht="15.75" hidden="false" customHeight="false" outlineLevel="0" collapsed="false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</row>
    <row r="369" customFormat="false" ht="15.75" hidden="false" customHeight="false" outlineLevel="0" collapsed="false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</row>
    <row r="370" customFormat="false" ht="15.75" hidden="false" customHeight="false" outlineLevel="0" collapsed="false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</row>
    <row r="371" customFormat="false" ht="15.75" hidden="false" customHeight="false" outlineLevel="0" collapsed="false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</row>
    <row r="372" customFormat="false" ht="15.75" hidden="false" customHeight="false" outlineLevel="0" collapsed="false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</row>
    <row r="373" customFormat="false" ht="15.75" hidden="false" customHeight="false" outlineLevel="0" collapsed="false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</row>
    <row r="374" customFormat="false" ht="15.75" hidden="false" customHeight="false" outlineLevel="0" collapsed="false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</row>
    <row r="375" customFormat="false" ht="15.75" hidden="false" customHeight="false" outlineLevel="0" collapsed="false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</row>
    <row r="376" customFormat="false" ht="15.75" hidden="false" customHeight="false" outlineLevel="0" collapsed="false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</row>
    <row r="377" customFormat="false" ht="15.75" hidden="false" customHeight="false" outlineLevel="0" collapsed="false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</row>
    <row r="378" customFormat="false" ht="15.75" hidden="false" customHeight="false" outlineLevel="0" collapsed="false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</row>
    <row r="379" customFormat="false" ht="15.75" hidden="false" customHeight="false" outlineLevel="0" collapsed="false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</row>
    <row r="380" customFormat="false" ht="15.75" hidden="false" customHeight="false" outlineLevel="0" collapsed="false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</row>
    <row r="381" customFormat="false" ht="15.75" hidden="false" customHeight="false" outlineLevel="0" collapsed="false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</row>
    <row r="382" customFormat="false" ht="15.75" hidden="false" customHeight="false" outlineLevel="0" collapsed="false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</row>
    <row r="383" customFormat="false" ht="15.75" hidden="false" customHeight="false" outlineLevel="0" collapsed="false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</row>
    <row r="384" customFormat="false" ht="15.75" hidden="false" customHeight="false" outlineLevel="0" collapsed="false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</row>
    <row r="385" customFormat="false" ht="15.75" hidden="false" customHeight="false" outlineLevel="0" collapsed="false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</row>
    <row r="386" customFormat="false" ht="15.75" hidden="false" customHeight="false" outlineLevel="0" collapsed="false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</row>
    <row r="387" customFormat="false" ht="15.75" hidden="false" customHeight="false" outlineLevel="0" collapsed="false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</row>
    <row r="388" customFormat="false" ht="15.75" hidden="false" customHeight="false" outlineLevel="0" collapsed="false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</row>
    <row r="389" customFormat="false" ht="15.75" hidden="false" customHeight="false" outlineLevel="0" collapsed="false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</row>
    <row r="390" customFormat="false" ht="15.75" hidden="false" customHeight="false" outlineLevel="0" collapsed="false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</row>
    <row r="391" customFormat="false" ht="15.75" hidden="false" customHeight="false" outlineLevel="0" collapsed="false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</row>
    <row r="392" customFormat="false" ht="15.75" hidden="false" customHeight="false" outlineLevel="0" collapsed="false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</row>
    <row r="393" customFormat="false" ht="15.75" hidden="false" customHeight="false" outlineLevel="0" collapsed="false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</row>
    <row r="394" customFormat="false" ht="15.75" hidden="false" customHeight="false" outlineLevel="0" collapsed="false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</row>
    <row r="395" customFormat="false" ht="15.75" hidden="false" customHeight="false" outlineLevel="0" collapsed="false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</row>
    <row r="396" customFormat="false" ht="15.75" hidden="false" customHeight="false" outlineLevel="0" collapsed="false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</row>
    <row r="397" customFormat="false" ht="15.75" hidden="false" customHeight="false" outlineLevel="0" collapsed="false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</row>
    <row r="398" customFormat="false" ht="15.75" hidden="false" customHeight="false" outlineLevel="0" collapsed="false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</row>
    <row r="399" customFormat="false" ht="15.75" hidden="false" customHeight="false" outlineLevel="0" collapsed="false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</row>
    <row r="400" customFormat="false" ht="15.75" hidden="false" customHeight="false" outlineLevel="0" collapsed="false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</row>
    <row r="401" customFormat="false" ht="15.75" hidden="false" customHeight="false" outlineLevel="0" collapsed="false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</row>
    <row r="402" customFormat="false" ht="15.75" hidden="false" customHeight="false" outlineLevel="0" collapsed="false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</row>
    <row r="403" customFormat="false" ht="15.75" hidden="false" customHeight="false" outlineLevel="0" collapsed="false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</row>
    <row r="404" customFormat="false" ht="15.75" hidden="false" customHeight="false" outlineLevel="0" collapsed="false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</row>
    <row r="405" customFormat="false" ht="15.75" hidden="false" customHeight="false" outlineLevel="0" collapsed="false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</row>
    <row r="406" customFormat="false" ht="15.75" hidden="false" customHeight="false" outlineLevel="0" collapsed="false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</row>
    <row r="407" customFormat="false" ht="15.75" hidden="false" customHeight="false" outlineLevel="0" collapsed="false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</row>
    <row r="408" customFormat="false" ht="15.75" hidden="false" customHeight="false" outlineLevel="0" collapsed="false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</row>
    <row r="409" customFormat="false" ht="15.75" hidden="false" customHeight="false" outlineLevel="0" collapsed="false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</row>
    <row r="410" customFormat="false" ht="15.75" hidden="false" customHeight="false" outlineLevel="0" collapsed="false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</row>
    <row r="411" customFormat="false" ht="15.75" hidden="false" customHeight="false" outlineLevel="0" collapsed="false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</row>
    <row r="412" customFormat="false" ht="15.75" hidden="false" customHeight="false" outlineLevel="0" collapsed="false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</row>
    <row r="413" customFormat="false" ht="15.75" hidden="false" customHeight="false" outlineLevel="0" collapsed="false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</row>
    <row r="414" customFormat="false" ht="15.75" hidden="false" customHeight="false" outlineLevel="0" collapsed="false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</row>
    <row r="415" customFormat="false" ht="15.75" hidden="false" customHeight="false" outlineLevel="0" collapsed="false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</row>
    <row r="416" customFormat="false" ht="15.75" hidden="false" customHeight="false" outlineLevel="0" collapsed="false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</row>
    <row r="417" customFormat="false" ht="15.75" hidden="false" customHeight="false" outlineLevel="0" collapsed="false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</row>
    <row r="418" customFormat="false" ht="15.75" hidden="false" customHeight="false" outlineLevel="0" collapsed="false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</row>
    <row r="419" customFormat="false" ht="15.75" hidden="false" customHeight="false" outlineLevel="0" collapsed="false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</row>
    <row r="420" customFormat="false" ht="15.75" hidden="false" customHeight="false" outlineLevel="0" collapsed="false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</row>
    <row r="421" customFormat="false" ht="15.75" hidden="false" customHeight="false" outlineLevel="0" collapsed="false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</row>
    <row r="422" customFormat="false" ht="15.75" hidden="false" customHeight="false" outlineLevel="0" collapsed="false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</row>
    <row r="423" customFormat="false" ht="15.75" hidden="false" customHeight="false" outlineLevel="0" collapsed="false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</row>
    <row r="424" customFormat="false" ht="15.75" hidden="false" customHeight="false" outlineLevel="0" collapsed="false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</row>
    <row r="425" customFormat="false" ht="15.75" hidden="false" customHeight="false" outlineLevel="0" collapsed="false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</row>
    <row r="426" customFormat="false" ht="15.75" hidden="false" customHeight="false" outlineLevel="0" collapsed="false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</row>
    <row r="427" customFormat="false" ht="15.75" hidden="false" customHeight="false" outlineLevel="0" collapsed="false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</row>
    <row r="428" customFormat="false" ht="15.75" hidden="false" customHeight="false" outlineLevel="0" collapsed="false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</row>
    <row r="429" customFormat="false" ht="15.75" hidden="false" customHeight="false" outlineLevel="0" collapsed="false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</row>
    <row r="430" customFormat="false" ht="15.75" hidden="false" customHeight="false" outlineLevel="0" collapsed="false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</row>
    <row r="431" customFormat="false" ht="15.75" hidden="false" customHeight="false" outlineLevel="0" collapsed="false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</row>
    <row r="432" customFormat="false" ht="15.75" hidden="false" customHeight="false" outlineLevel="0" collapsed="false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</row>
    <row r="433" customFormat="false" ht="15.75" hidden="false" customHeight="false" outlineLevel="0" collapsed="false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</row>
    <row r="434" customFormat="false" ht="15.75" hidden="false" customHeight="false" outlineLevel="0" collapsed="false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</row>
    <row r="435" customFormat="false" ht="15.75" hidden="false" customHeight="false" outlineLevel="0" collapsed="false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</row>
    <row r="436" customFormat="false" ht="15.75" hidden="false" customHeight="false" outlineLevel="0" collapsed="false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</row>
    <row r="437" customFormat="false" ht="15.75" hidden="false" customHeight="false" outlineLevel="0" collapsed="false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</row>
    <row r="438" customFormat="false" ht="15.75" hidden="false" customHeight="false" outlineLevel="0" collapsed="false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</row>
    <row r="439" customFormat="false" ht="15.75" hidden="false" customHeight="false" outlineLevel="0" collapsed="false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</row>
    <row r="440" customFormat="false" ht="15.75" hidden="false" customHeight="false" outlineLevel="0" collapsed="false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</row>
    <row r="441" customFormat="false" ht="15.75" hidden="false" customHeight="false" outlineLevel="0" collapsed="false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</row>
    <row r="442" customFormat="false" ht="15.75" hidden="false" customHeight="false" outlineLevel="0" collapsed="false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</row>
    <row r="443" customFormat="false" ht="15.75" hidden="false" customHeight="false" outlineLevel="0" collapsed="false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</row>
    <row r="444" customFormat="false" ht="15.75" hidden="false" customHeight="false" outlineLevel="0" collapsed="false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</row>
    <row r="445" customFormat="false" ht="15.75" hidden="false" customHeight="false" outlineLevel="0" collapsed="false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</row>
    <row r="446" customFormat="false" ht="15.75" hidden="false" customHeight="false" outlineLevel="0" collapsed="false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</row>
    <row r="447" customFormat="false" ht="15.75" hidden="false" customHeight="false" outlineLevel="0" collapsed="false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</row>
    <row r="448" customFormat="false" ht="15.75" hidden="false" customHeight="false" outlineLevel="0" collapsed="false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</row>
    <row r="449" customFormat="false" ht="15.75" hidden="false" customHeight="false" outlineLevel="0" collapsed="false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</row>
    <row r="450" customFormat="false" ht="15.75" hidden="false" customHeight="false" outlineLevel="0" collapsed="false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</row>
    <row r="451" customFormat="false" ht="15.75" hidden="false" customHeight="false" outlineLevel="0" collapsed="false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</row>
    <row r="452" customFormat="false" ht="15.75" hidden="false" customHeight="false" outlineLevel="0" collapsed="false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</row>
    <row r="453" customFormat="false" ht="15.75" hidden="false" customHeight="false" outlineLevel="0" collapsed="false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</row>
    <row r="454" customFormat="false" ht="15.75" hidden="false" customHeight="false" outlineLevel="0" collapsed="false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</row>
    <row r="455" customFormat="false" ht="15.75" hidden="false" customHeight="false" outlineLevel="0" collapsed="false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</row>
    <row r="456" customFormat="false" ht="15.75" hidden="false" customHeight="false" outlineLevel="0" collapsed="false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</row>
    <row r="457" customFormat="false" ht="15.75" hidden="false" customHeight="false" outlineLevel="0" collapsed="false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</row>
    <row r="458" customFormat="false" ht="15.75" hidden="false" customHeight="false" outlineLevel="0" collapsed="false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</row>
    <row r="459" customFormat="false" ht="15.75" hidden="false" customHeight="false" outlineLevel="0" collapsed="false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</row>
    <row r="460" customFormat="false" ht="15.75" hidden="false" customHeight="false" outlineLevel="0" collapsed="false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</row>
    <row r="461" customFormat="false" ht="15.75" hidden="false" customHeight="false" outlineLevel="0" collapsed="false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</row>
    <row r="462" customFormat="false" ht="15.75" hidden="false" customHeight="false" outlineLevel="0" collapsed="false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</row>
    <row r="463" customFormat="false" ht="15.75" hidden="false" customHeight="false" outlineLevel="0" collapsed="false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</row>
    <row r="464" customFormat="false" ht="15.75" hidden="false" customHeight="false" outlineLevel="0" collapsed="false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</row>
    <row r="465" customFormat="false" ht="15.75" hidden="false" customHeight="false" outlineLevel="0" collapsed="false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</row>
    <row r="466" customFormat="false" ht="15.75" hidden="false" customHeight="false" outlineLevel="0" collapsed="false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</row>
    <row r="467" customFormat="false" ht="15.75" hidden="false" customHeight="false" outlineLevel="0" collapsed="false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</row>
    <row r="468" customFormat="false" ht="15.75" hidden="false" customHeight="false" outlineLevel="0" collapsed="false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</row>
    <row r="469" customFormat="false" ht="15.75" hidden="false" customHeight="false" outlineLevel="0" collapsed="false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</row>
    <row r="470" customFormat="false" ht="15.75" hidden="false" customHeight="false" outlineLevel="0" collapsed="false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</row>
    <row r="471" customFormat="false" ht="15.75" hidden="false" customHeight="false" outlineLevel="0" collapsed="false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</row>
    <row r="472" customFormat="false" ht="15.75" hidden="false" customHeight="false" outlineLevel="0" collapsed="false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</row>
    <row r="473" customFormat="false" ht="15.75" hidden="false" customHeight="false" outlineLevel="0" collapsed="false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</row>
    <row r="474" customFormat="false" ht="15.75" hidden="false" customHeight="false" outlineLevel="0" collapsed="false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</row>
    <row r="475" customFormat="false" ht="15.75" hidden="false" customHeight="false" outlineLevel="0" collapsed="false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</row>
    <row r="476" customFormat="false" ht="15.75" hidden="false" customHeight="false" outlineLevel="0" collapsed="false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</row>
    <row r="477" customFormat="false" ht="15.75" hidden="false" customHeight="false" outlineLevel="0" collapsed="false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</row>
    <row r="478" customFormat="false" ht="15.75" hidden="false" customHeight="false" outlineLevel="0" collapsed="false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</row>
    <row r="479" customFormat="false" ht="15.75" hidden="false" customHeight="false" outlineLevel="0" collapsed="false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</row>
    <row r="480" customFormat="false" ht="15.75" hidden="false" customHeight="false" outlineLevel="0" collapsed="false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</row>
    <row r="481" customFormat="false" ht="15.75" hidden="false" customHeight="false" outlineLevel="0" collapsed="false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</row>
    <row r="482" customFormat="false" ht="15.75" hidden="false" customHeight="false" outlineLevel="0" collapsed="false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</row>
    <row r="483" customFormat="false" ht="15.75" hidden="false" customHeight="false" outlineLevel="0" collapsed="false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</row>
    <row r="484" customFormat="false" ht="15.75" hidden="false" customHeight="false" outlineLevel="0" collapsed="false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</row>
    <row r="485" customFormat="false" ht="15.75" hidden="false" customHeight="false" outlineLevel="0" collapsed="false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</row>
    <row r="486" customFormat="false" ht="15.75" hidden="false" customHeight="false" outlineLevel="0" collapsed="false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</row>
    <row r="487" customFormat="false" ht="15.75" hidden="false" customHeight="false" outlineLevel="0" collapsed="false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</row>
    <row r="488" customFormat="false" ht="15.75" hidden="false" customHeight="false" outlineLevel="0" collapsed="false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</row>
    <row r="489" customFormat="false" ht="15.75" hidden="false" customHeight="false" outlineLevel="0" collapsed="false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</row>
    <row r="490" customFormat="false" ht="15.75" hidden="false" customHeight="false" outlineLevel="0" collapsed="false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</row>
    <row r="491" customFormat="false" ht="15.75" hidden="false" customHeight="false" outlineLevel="0" collapsed="false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</row>
    <row r="492" customFormat="false" ht="15.75" hidden="false" customHeight="false" outlineLevel="0" collapsed="false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</row>
    <row r="493" customFormat="false" ht="15.75" hidden="false" customHeight="false" outlineLevel="0" collapsed="false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</row>
    <row r="494" customFormat="false" ht="15.75" hidden="false" customHeight="false" outlineLevel="0" collapsed="false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</row>
    <row r="495" customFormat="false" ht="15.75" hidden="false" customHeight="false" outlineLevel="0" collapsed="false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</row>
    <row r="496" customFormat="false" ht="15.75" hidden="false" customHeight="false" outlineLevel="0" collapsed="false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</row>
    <row r="497" customFormat="false" ht="15.75" hidden="false" customHeight="false" outlineLevel="0" collapsed="false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</row>
    <row r="498" customFormat="false" ht="15.75" hidden="false" customHeight="false" outlineLevel="0" collapsed="false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</row>
    <row r="499" customFormat="false" ht="15.75" hidden="false" customHeight="false" outlineLevel="0" collapsed="false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</row>
    <row r="500" customFormat="false" ht="15.75" hidden="false" customHeight="false" outlineLevel="0" collapsed="false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</row>
    <row r="501" customFormat="false" ht="15.75" hidden="false" customHeight="false" outlineLevel="0" collapsed="false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</row>
    <row r="502" customFormat="false" ht="15.75" hidden="false" customHeight="false" outlineLevel="0" collapsed="false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</row>
    <row r="503" customFormat="false" ht="15.75" hidden="false" customHeight="false" outlineLevel="0" collapsed="false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</row>
    <row r="504" customFormat="false" ht="15.75" hidden="false" customHeight="false" outlineLevel="0" collapsed="false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</row>
    <row r="505" customFormat="false" ht="15.75" hidden="false" customHeight="false" outlineLevel="0" collapsed="false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</row>
    <row r="506" customFormat="false" ht="15.75" hidden="false" customHeight="false" outlineLevel="0" collapsed="false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</row>
    <row r="507" customFormat="false" ht="15.75" hidden="false" customHeight="false" outlineLevel="0" collapsed="false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</row>
    <row r="508" customFormat="false" ht="15.75" hidden="false" customHeight="false" outlineLevel="0" collapsed="false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</row>
    <row r="509" customFormat="false" ht="15.75" hidden="false" customHeight="false" outlineLevel="0" collapsed="false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</row>
    <row r="510" customFormat="false" ht="15.75" hidden="false" customHeight="false" outlineLevel="0" collapsed="false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</row>
    <row r="511" customFormat="false" ht="15.75" hidden="false" customHeight="false" outlineLevel="0" collapsed="false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</row>
    <row r="512" customFormat="false" ht="15.75" hidden="false" customHeight="false" outlineLevel="0" collapsed="false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</row>
    <row r="513" customFormat="false" ht="15.75" hidden="false" customHeight="false" outlineLevel="0" collapsed="false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</row>
    <row r="514" customFormat="false" ht="15.75" hidden="false" customHeight="false" outlineLevel="0" collapsed="false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</row>
    <row r="515" customFormat="false" ht="15.75" hidden="false" customHeight="false" outlineLevel="0" collapsed="false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</row>
    <row r="516" customFormat="false" ht="15.75" hidden="false" customHeight="false" outlineLevel="0" collapsed="false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</row>
    <row r="517" customFormat="false" ht="15.75" hidden="false" customHeight="false" outlineLevel="0" collapsed="false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</row>
    <row r="518" customFormat="false" ht="15.75" hidden="false" customHeight="false" outlineLevel="0" collapsed="false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</row>
    <row r="519" customFormat="false" ht="15.75" hidden="false" customHeight="false" outlineLevel="0" collapsed="false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</row>
    <row r="520" customFormat="false" ht="15.75" hidden="false" customHeight="false" outlineLevel="0" collapsed="false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</row>
    <row r="521" customFormat="false" ht="15.75" hidden="false" customHeight="false" outlineLevel="0" collapsed="false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</row>
    <row r="522" customFormat="false" ht="15.75" hidden="false" customHeight="false" outlineLevel="0" collapsed="false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</row>
    <row r="523" customFormat="false" ht="15.75" hidden="false" customHeight="false" outlineLevel="0" collapsed="false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</row>
    <row r="524" customFormat="false" ht="15.75" hidden="false" customHeight="false" outlineLevel="0" collapsed="false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</row>
    <row r="525" customFormat="false" ht="15.75" hidden="false" customHeight="false" outlineLevel="0" collapsed="false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</row>
    <row r="526" customFormat="false" ht="15.75" hidden="false" customHeight="false" outlineLevel="0" collapsed="false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</row>
    <row r="527" customFormat="false" ht="15.75" hidden="false" customHeight="false" outlineLevel="0" collapsed="false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</row>
    <row r="528" customFormat="false" ht="15.75" hidden="false" customHeight="false" outlineLevel="0" collapsed="false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</row>
    <row r="529" customFormat="false" ht="15.75" hidden="false" customHeight="false" outlineLevel="0" collapsed="false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</row>
    <row r="530" customFormat="false" ht="15.75" hidden="false" customHeight="false" outlineLevel="0" collapsed="false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</row>
    <row r="531" customFormat="false" ht="15.75" hidden="false" customHeight="false" outlineLevel="0" collapsed="false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</row>
    <row r="532" customFormat="false" ht="15.75" hidden="false" customHeight="false" outlineLevel="0" collapsed="false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</row>
    <row r="533" customFormat="false" ht="15.75" hidden="false" customHeight="false" outlineLevel="0" collapsed="false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</row>
    <row r="534" customFormat="false" ht="15.75" hidden="false" customHeight="false" outlineLevel="0" collapsed="false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</row>
    <row r="535" customFormat="false" ht="15.75" hidden="false" customHeight="false" outlineLevel="0" collapsed="false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</row>
    <row r="536" customFormat="false" ht="15.75" hidden="false" customHeight="false" outlineLevel="0" collapsed="false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</row>
    <row r="537" customFormat="false" ht="15.75" hidden="false" customHeight="false" outlineLevel="0" collapsed="false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</row>
    <row r="538" customFormat="false" ht="15.75" hidden="false" customHeight="false" outlineLevel="0" collapsed="false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</row>
    <row r="539" customFormat="false" ht="15.75" hidden="false" customHeight="false" outlineLevel="0" collapsed="false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</row>
    <row r="540" customFormat="false" ht="15.75" hidden="false" customHeight="false" outlineLevel="0" collapsed="false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</row>
    <row r="541" customFormat="false" ht="15.75" hidden="false" customHeight="false" outlineLevel="0" collapsed="false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</row>
    <row r="542" customFormat="false" ht="15.75" hidden="false" customHeight="false" outlineLevel="0" collapsed="false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</row>
    <row r="543" customFormat="false" ht="15.75" hidden="false" customHeight="false" outlineLevel="0" collapsed="false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</row>
    <row r="544" customFormat="false" ht="15.75" hidden="false" customHeight="false" outlineLevel="0" collapsed="false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</row>
    <row r="545" customFormat="false" ht="15.75" hidden="false" customHeight="false" outlineLevel="0" collapsed="false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</row>
    <row r="546" customFormat="false" ht="15.75" hidden="false" customHeight="false" outlineLevel="0" collapsed="false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</row>
    <row r="547" customFormat="false" ht="15.75" hidden="false" customHeight="false" outlineLevel="0" collapsed="false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</row>
    <row r="548" customFormat="false" ht="15.75" hidden="false" customHeight="false" outlineLevel="0" collapsed="false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</row>
    <row r="549" customFormat="false" ht="15.75" hidden="false" customHeight="false" outlineLevel="0" collapsed="false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</row>
    <row r="550" customFormat="false" ht="15.75" hidden="false" customHeight="false" outlineLevel="0" collapsed="false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</row>
    <row r="551" customFormat="false" ht="15.75" hidden="false" customHeight="false" outlineLevel="0" collapsed="false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</row>
    <row r="552" customFormat="false" ht="15.75" hidden="false" customHeight="false" outlineLevel="0" collapsed="false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</row>
    <row r="553" customFormat="false" ht="15.75" hidden="false" customHeight="false" outlineLevel="0" collapsed="false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</row>
    <row r="554" customFormat="false" ht="15.75" hidden="false" customHeight="false" outlineLevel="0" collapsed="false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</row>
    <row r="555" customFormat="false" ht="15.75" hidden="false" customHeight="false" outlineLevel="0" collapsed="false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</row>
    <row r="556" customFormat="false" ht="15.75" hidden="false" customHeight="false" outlineLevel="0" collapsed="false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</row>
    <row r="557" customFormat="false" ht="15.75" hidden="false" customHeight="false" outlineLevel="0" collapsed="false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</row>
    <row r="558" customFormat="false" ht="15.75" hidden="false" customHeight="false" outlineLevel="0" collapsed="false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</row>
    <row r="559" customFormat="false" ht="15.75" hidden="false" customHeight="false" outlineLevel="0" collapsed="false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</row>
    <row r="560" customFormat="false" ht="15.75" hidden="false" customHeight="false" outlineLevel="0" collapsed="false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</row>
    <row r="561" customFormat="false" ht="15.75" hidden="false" customHeight="false" outlineLevel="0" collapsed="false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</row>
    <row r="562" customFormat="false" ht="15.75" hidden="false" customHeight="false" outlineLevel="0" collapsed="false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</row>
    <row r="563" customFormat="false" ht="15.75" hidden="false" customHeight="false" outlineLevel="0" collapsed="false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</row>
    <row r="564" customFormat="false" ht="15.75" hidden="false" customHeight="false" outlineLevel="0" collapsed="false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</row>
    <row r="565" customFormat="false" ht="15.75" hidden="false" customHeight="false" outlineLevel="0" collapsed="false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</row>
    <row r="566" customFormat="false" ht="15.75" hidden="false" customHeight="false" outlineLevel="0" collapsed="false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</row>
    <row r="567" customFormat="false" ht="15.75" hidden="false" customHeight="false" outlineLevel="0" collapsed="false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</row>
    <row r="568" customFormat="false" ht="15.75" hidden="false" customHeight="false" outlineLevel="0" collapsed="false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</row>
    <row r="569" customFormat="false" ht="15.75" hidden="false" customHeight="false" outlineLevel="0" collapsed="false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</row>
    <row r="570" customFormat="false" ht="15.75" hidden="false" customHeight="false" outlineLevel="0" collapsed="false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</row>
    <row r="571" customFormat="false" ht="15.75" hidden="false" customHeight="false" outlineLevel="0" collapsed="false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</row>
    <row r="572" customFormat="false" ht="15.75" hidden="false" customHeight="false" outlineLevel="0" collapsed="false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</row>
    <row r="573" customFormat="false" ht="15.75" hidden="false" customHeight="false" outlineLevel="0" collapsed="false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</row>
    <row r="574" customFormat="false" ht="15.75" hidden="false" customHeight="false" outlineLevel="0" collapsed="false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</row>
    <row r="575" customFormat="false" ht="15.75" hidden="false" customHeight="false" outlineLevel="0" collapsed="false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</row>
    <row r="576" customFormat="false" ht="15.75" hidden="false" customHeight="false" outlineLevel="0" collapsed="false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</row>
    <row r="577" customFormat="false" ht="15.75" hidden="false" customHeight="false" outlineLevel="0" collapsed="false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</row>
    <row r="578" customFormat="false" ht="15.75" hidden="false" customHeight="false" outlineLevel="0" collapsed="false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</row>
    <row r="579" customFormat="false" ht="15.75" hidden="false" customHeight="false" outlineLevel="0" collapsed="false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</row>
    <row r="580" customFormat="false" ht="15.75" hidden="false" customHeight="false" outlineLevel="0" collapsed="false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</row>
    <row r="581" customFormat="false" ht="15.75" hidden="false" customHeight="false" outlineLevel="0" collapsed="false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</row>
    <row r="582" customFormat="false" ht="15.75" hidden="false" customHeight="false" outlineLevel="0" collapsed="false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</row>
    <row r="583" customFormat="false" ht="15.75" hidden="false" customHeight="false" outlineLevel="0" collapsed="false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</row>
    <row r="584" customFormat="false" ht="15.75" hidden="false" customHeight="false" outlineLevel="0" collapsed="false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</row>
    <row r="585" customFormat="false" ht="15.75" hidden="false" customHeight="false" outlineLevel="0" collapsed="false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</row>
    <row r="586" customFormat="false" ht="15.75" hidden="false" customHeight="false" outlineLevel="0" collapsed="false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</row>
    <row r="587" customFormat="false" ht="15.75" hidden="false" customHeight="false" outlineLevel="0" collapsed="false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</row>
    <row r="588" customFormat="false" ht="15.75" hidden="false" customHeight="false" outlineLevel="0" collapsed="false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</row>
    <row r="589" customFormat="false" ht="15.75" hidden="false" customHeight="false" outlineLevel="0" collapsed="false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</row>
    <row r="590" customFormat="false" ht="15.75" hidden="false" customHeight="false" outlineLevel="0" collapsed="false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</row>
    <row r="591" customFormat="false" ht="15.75" hidden="false" customHeight="false" outlineLevel="0" collapsed="false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</row>
    <row r="592" customFormat="false" ht="15.75" hidden="false" customHeight="false" outlineLevel="0" collapsed="false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</row>
    <row r="593" customFormat="false" ht="15.75" hidden="false" customHeight="false" outlineLevel="0" collapsed="false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</row>
    <row r="594" customFormat="false" ht="15.75" hidden="false" customHeight="false" outlineLevel="0" collapsed="false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</row>
    <row r="595" customFormat="false" ht="15.75" hidden="false" customHeight="false" outlineLevel="0" collapsed="false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</row>
    <row r="596" customFormat="false" ht="15.75" hidden="false" customHeight="false" outlineLevel="0" collapsed="false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</row>
    <row r="597" customFormat="false" ht="15.75" hidden="false" customHeight="false" outlineLevel="0" collapsed="false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</row>
    <row r="598" customFormat="false" ht="15.75" hidden="false" customHeight="false" outlineLevel="0" collapsed="false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</row>
    <row r="599" customFormat="false" ht="15.75" hidden="false" customHeight="false" outlineLevel="0" collapsed="false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</row>
    <row r="600" customFormat="false" ht="15.75" hidden="false" customHeight="false" outlineLevel="0" collapsed="false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</row>
    <row r="601" customFormat="false" ht="15.75" hidden="false" customHeight="false" outlineLevel="0" collapsed="false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</row>
    <row r="602" customFormat="false" ht="15.75" hidden="false" customHeight="false" outlineLevel="0" collapsed="false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</row>
    <row r="603" customFormat="false" ht="15.75" hidden="false" customHeight="false" outlineLevel="0" collapsed="false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</row>
    <row r="604" customFormat="false" ht="15.75" hidden="false" customHeight="false" outlineLevel="0" collapsed="false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</row>
    <row r="605" customFormat="false" ht="15.75" hidden="false" customHeight="false" outlineLevel="0" collapsed="false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</row>
    <row r="606" customFormat="false" ht="15.75" hidden="false" customHeight="false" outlineLevel="0" collapsed="false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</row>
    <row r="607" customFormat="false" ht="15.75" hidden="false" customHeight="false" outlineLevel="0" collapsed="false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</row>
    <row r="608" customFormat="false" ht="15.75" hidden="false" customHeight="false" outlineLevel="0" collapsed="false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</row>
    <row r="609" customFormat="false" ht="15.75" hidden="false" customHeight="false" outlineLevel="0" collapsed="false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</row>
    <row r="610" customFormat="false" ht="15.75" hidden="false" customHeight="false" outlineLevel="0" collapsed="false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</row>
    <row r="611" customFormat="false" ht="15.75" hidden="false" customHeight="false" outlineLevel="0" collapsed="false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</row>
    <row r="612" customFormat="false" ht="15.75" hidden="false" customHeight="false" outlineLevel="0" collapsed="false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</row>
    <row r="613" customFormat="false" ht="15.75" hidden="false" customHeight="false" outlineLevel="0" collapsed="false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</row>
    <row r="614" customFormat="false" ht="15.75" hidden="false" customHeight="false" outlineLevel="0" collapsed="false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</row>
    <row r="615" customFormat="false" ht="15.75" hidden="false" customHeight="false" outlineLevel="0" collapsed="false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</row>
    <row r="616" customFormat="false" ht="15.75" hidden="false" customHeight="false" outlineLevel="0" collapsed="false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</row>
    <row r="617" customFormat="false" ht="15.75" hidden="false" customHeight="false" outlineLevel="0" collapsed="false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</row>
    <row r="618" customFormat="false" ht="15.75" hidden="false" customHeight="false" outlineLevel="0" collapsed="false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</row>
    <row r="619" customFormat="false" ht="15.75" hidden="false" customHeight="false" outlineLevel="0" collapsed="false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</row>
    <row r="620" customFormat="false" ht="15.75" hidden="false" customHeight="false" outlineLevel="0" collapsed="false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</row>
    <row r="621" customFormat="false" ht="15.75" hidden="false" customHeight="false" outlineLevel="0" collapsed="false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</row>
    <row r="622" customFormat="false" ht="15.75" hidden="false" customHeight="false" outlineLevel="0" collapsed="false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</row>
    <row r="623" customFormat="false" ht="15.75" hidden="false" customHeight="false" outlineLevel="0" collapsed="false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</row>
    <row r="624" customFormat="false" ht="15.75" hidden="false" customHeight="false" outlineLevel="0" collapsed="false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</row>
    <row r="625" customFormat="false" ht="15.75" hidden="false" customHeight="false" outlineLevel="0" collapsed="false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</row>
    <row r="626" customFormat="false" ht="15.75" hidden="false" customHeight="false" outlineLevel="0" collapsed="false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</row>
    <row r="627" customFormat="false" ht="15.75" hidden="false" customHeight="false" outlineLevel="0" collapsed="false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</row>
    <row r="628" customFormat="false" ht="15.75" hidden="false" customHeight="false" outlineLevel="0" collapsed="false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</row>
    <row r="629" customFormat="false" ht="15.75" hidden="false" customHeight="false" outlineLevel="0" collapsed="false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</row>
    <row r="630" customFormat="false" ht="15.75" hidden="false" customHeight="false" outlineLevel="0" collapsed="false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</row>
    <row r="631" customFormat="false" ht="15.75" hidden="false" customHeight="false" outlineLevel="0" collapsed="false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</row>
    <row r="632" customFormat="false" ht="15.75" hidden="false" customHeight="false" outlineLevel="0" collapsed="false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</row>
    <row r="633" customFormat="false" ht="15.75" hidden="false" customHeight="false" outlineLevel="0" collapsed="false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</row>
    <row r="634" customFormat="false" ht="15.75" hidden="false" customHeight="false" outlineLevel="0" collapsed="false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</row>
    <row r="635" customFormat="false" ht="15.75" hidden="false" customHeight="false" outlineLevel="0" collapsed="false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</row>
    <row r="636" customFormat="false" ht="15.75" hidden="false" customHeight="false" outlineLevel="0" collapsed="false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</row>
    <row r="637" customFormat="false" ht="15.75" hidden="false" customHeight="false" outlineLevel="0" collapsed="false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</row>
    <row r="638" customFormat="false" ht="15.75" hidden="false" customHeight="false" outlineLevel="0" collapsed="false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</row>
    <row r="639" customFormat="false" ht="15.75" hidden="false" customHeight="false" outlineLevel="0" collapsed="false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</row>
    <row r="640" customFormat="false" ht="15.75" hidden="false" customHeight="false" outlineLevel="0" collapsed="false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</row>
    <row r="641" customFormat="false" ht="15.75" hidden="false" customHeight="false" outlineLevel="0" collapsed="false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</row>
    <row r="642" customFormat="false" ht="15.75" hidden="false" customHeight="false" outlineLevel="0" collapsed="false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</row>
    <row r="643" customFormat="false" ht="15.75" hidden="false" customHeight="false" outlineLevel="0" collapsed="false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</row>
    <row r="644" customFormat="false" ht="15.75" hidden="false" customHeight="false" outlineLevel="0" collapsed="false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</row>
    <row r="645" customFormat="false" ht="15.75" hidden="false" customHeight="false" outlineLevel="0" collapsed="false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</row>
    <row r="646" customFormat="false" ht="15.75" hidden="false" customHeight="false" outlineLevel="0" collapsed="false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</row>
    <row r="647" customFormat="false" ht="15.75" hidden="false" customHeight="false" outlineLevel="0" collapsed="false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</row>
    <row r="648" customFormat="false" ht="15.75" hidden="false" customHeight="false" outlineLevel="0" collapsed="false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</row>
    <row r="649" customFormat="false" ht="15.75" hidden="false" customHeight="false" outlineLevel="0" collapsed="false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</row>
    <row r="650" customFormat="false" ht="15.75" hidden="false" customHeight="false" outlineLevel="0" collapsed="false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</row>
    <row r="651" customFormat="false" ht="15.75" hidden="false" customHeight="false" outlineLevel="0" collapsed="false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</row>
    <row r="652" customFormat="false" ht="15.75" hidden="false" customHeight="false" outlineLevel="0" collapsed="false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</row>
    <row r="653" customFormat="false" ht="15.75" hidden="false" customHeight="false" outlineLevel="0" collapsed="false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</row>
    <row r="654" customFormat="false" ht="15.75" hidden="false" customHeight="false" outlineLevel="0" collapsed="false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</row>
    <row r="655" customFormat="false" ht="15.75" hidden="false" customHeight="false" outlineLevel="0" collapsed="false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</row>
    <row r="656" customFormat="false" ht="15.75" hidden="false" customHeight="false" outlineLevel="0" collapsed="false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</row>
    <row r="657" customFormat="false" ht="15.75" hidden="false" customHeight="false" outlineLevel="0" collapsed="false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</row>
    <row r="658" customFormat="false" ht="15.75" hidden="false" customHeight="false" outlineLevel="0" collapsed="false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</row>
    <row r="659" customFormat="false" ht="15.75" hidden="false" customHeight="false" outlineLevel="0" collapsed="false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</row>
    <row r="660" customFormat="false" ht="15.75" hidden="false" customHeight="false" outlineLevel="0" collapsed="false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</row>
    <row r="661" customFormat="false" ht="15.75" hidden="false" customHeight="false" outlineLevel="0" collapsed="false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</row>
    <row r="662" customFormat="false" ht="15.75" hidden="false" customHeight="false" outlineLevel="0" collapsed="false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</row>
    <row r="663" customFormat="false" ht="15.75" hidden="false" customHeight="false" outlineLevel="0" collapsed="false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</row>
    <row r="664" customFormat="false" ht="15.75" hidden="false" customHeight="false" outlineLevel="0" collapsed="false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</row>
    <row r="665" customFormat="false" ht="15.75" hidden="false" customHeight="false" outlineLevel="0" collapsed="false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</row>
    <row r="666" customFormat="false" ht="15.75" hidden="false" customHeight="false" outlineLevel="0" collapsed="false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</row>
    <row r="667" customFormat="false" ht="15.75" hidden="false" customHeight="false" outlineLevel="0" collapsed="false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</row>
    <row r="668" customFormat="false" ht="15.75" hidden="false" customHeight="false" outlineLevel="0" collapsed="false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</row>
    <row r="669" customFormat="false" ht="15.75" hidden="false" customHeight="false" outlineLevel="0" collapsed="false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</row>
    <row r="670" customFormat="false" ht="15.75" hidden="false" customHeight="false" outlineLevel="0" collapsed="false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</row>
    <row r="671" customFormat="false" ht="15.75" hidden="false" customHeight="false" outlineLevel="0" collapsed="false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</row>
    <row r="672" customFormat="false" ht="15.75" hidden="false" customHeight="false" outlineLevel="0" collapsed="false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</row>
    <row r="673" customFormat="false" ht="15.75" hidden="false" customHeight="false" outlineLevel="0" collapsed="false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</row>
    <row r="674" customFormat="false" ht="15.75" hidden="false" customHeight="false" outlineLevel="0" collapsed="false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</row>
    <row r="675" customFormat="false" ht="15.75" hidden="false" customHeight="false" outlineLevel="0" collapsed="false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</row>
    <row r="676" customFormat="false" ht="15.75" hidden="false" customHeight="false" outlineLevel="0" collapsed="false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</row>
    <row r="677" customFormat="false" ht="15.75" hidden="false" customHeight="false" outlineLevel="0" collapsed="false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</row>
    <row r="678" customFormat="false" ht="15.75" hidden="false" customHeight="false" outlineLevel="0" collapsed="false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</row>
    <row r="679" customFormat="false" ht="15.75" hidden="false" customHeight="false" outlineLevel="0" collapsed="false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</row>
    <row r="680" customFormat="false" ht="15.75" hidden="false" customHeight="false" outlineLevel="0" collapsed="false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</row>
    <row r="681" customFormat="false" ht="15.75" hidden="false" customHeight="false" outlineLevel="0" collapsed="false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</row>
    <row r="682" customFormat="false" ht="15.75" hidden="false" customHeight="false" outlineLevel="0" collapsed="false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</row>
    <row r="683" customFormat="false" ht="15.75" hidden="false" customHeight="false" outlineLevel="0" collapsed="false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</row>
    <row r="684" customFormat="false" ht="15.75" hidden="false" customHeight="false" outlineLevel="0" collapsed="false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</row>
    <row r="685" customFormat="false" ht="15.75" hidden="false" customHeight="false" outlineLevel="0" collapsed="false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</row>
    <row r="686" customFormat="false" ht="15.75" hidden="false" customHeight="false" outlineLevel="0" collapsed="false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</row>
    <row r="687" customFormat="false" ht="15.75" hidden="false" customHeight="false" outlineLevel="0" collapsed="false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</row>
    <row r="688" customFormat="false" ht="15.75" hidden="false" customHeight="false" outlineLevel="0" collapsed="false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</row>
    <row r="689" customFormat="false" ht="15.75" hidden="false" customHeight="false" outlineLevel="0" collapsed="false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</row>
    <row r="690" customFormat="false" ht="15.75" hidden="false" customHeight="false" outlineLevel="0" collapsed="false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</row>
    <row r="691" customFormat="false" ht="15.75" hidden="false" customHeight="false" outlineLevel="0" collapsed="false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</row>
    <row r="692" customFormat="false" ht="15.75" hidden="false" customHeight="false" outlineLevel="0" collapsed="false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</row>
    <row r="693" customFormat="false" ht="15.75" hidden="false" customHeight="false" outlineLevel="0" collapsed="false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</row>
    <row r="694" customFormat="false" ht="15.75" hidden="false" customHeight="false" outlineLevel="0" collapsed="false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</row>
    <row r="695" customFormat="false" ht="15.75" hidden="false" customHeight="false" outlineLevel="0" collapsed="false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</row>
    <row r="696" customFormat="false" ht="15.75" hidden="false" customHeight="false" outlineLevel="0" collapsed="false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</row>
    <row r="697" customFormat="false" ht="15.75" hidden="false" customHeight="false" outlineLevel="0" collapsed="false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</row>
    <row r="698" customFormat="false" ht="15.75" hidden="false" customHeight="false" outlineLevel="0" collapsed="false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</row>
    <row r="699" customFormat="false" ht="15.75" hidden="false" customHeight="false" outlineLevel="0" collapsed="false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</row>
    <row r="700" customFormat="false" ht="15.75" hidden="false" customHeight="false" outlineLevel="0" collapsed="false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</row>
    <row r="701" customFormat="false" ht="15.75" hidden="false" customHeight="false" outlineLevel="0" collapsed="false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</row>
    <row r="702" customFormat="false" ht="15.75" hidden="false" customHeight="false" outlineLevel="0" collapsed="false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</row>
    <row r="703" customFormat="false" ht="15.75" hidden="false" customHeight="false" outlineLevel="0" collapsed="false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</row>
    <row r="704" customFormat="false" ht="15.75" hidden="false" customHeight="false" outlineLevel="0" collapsed="false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</row>
    <row r="705" customFormat="false" ht="15.75" hidden="false" customHeight="false" outlineLevel="0" collapsed="false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</row>
    <row r="706" customFormat="false" ht="15.75" hidden="false" customHeight="false" outlineLevel="0" collapsed="false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</row>
    <row r="707" customFormat="false" ht="15.75" hidden="false" customHeight="false" outlineLevel="0" collapsed="false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</row>
    <row r="708" customFormat="false" ht="15.75" hidden="false" customHeight="false" outlineLevel="0" collapsed="false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</row>
    <row r="709" customFormat="false" ht="15.75" hidden="false" customHeight="false" outlineLevel="0" collapsed="false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</row>
    <row r="710" customFormat="false" ht="15.75" hidden="false" customHeight="false" outlineLevel="0" collapsed="false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</row>
    <row r="711" customFormat="false" ht="15.75" hidden="false" customHeight="false" outlineLevel="0" collapsed="false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</row>
    <row r="712" customFormat="false" ht="15.75" hidden="false" customHeight="false" outlineLevel="0" collapsed="false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</row>
    <row r="713" customFormat="false" ht="15.75" hidden="false" customHeight="false" outlineLevel="0" collapsed="false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</row>
    <row r="714" customFormat="false" ht="15.75" hidden="false" customHeight="false" outlineLevel="0" collapsed="false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</row>
    <row r="715" customFormat="false" ht="15.75" hidden="false" customHeight="false" outlineLevel="0" collapsed="false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</row>
    <row r="716" customFormat="false" ht="15.75" hidden="false" customHeight="false" outlineLevel="0" collapsed="false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</row>
    <row r="717" customFormat="false" ht="15.75" hidden="false" customHeight="false" outlineLevel="0" collapsed="false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</row>
    <row r="718" customFormat="false" ht="15.75" hidden="false" customHeight="false" outlineLevel="0" collapsed="false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</row>
    <row r="719" customFormat="false" ht="15.75" hidden="false" customHeight="false" outlineLevel="0" collapsed="false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</row>
    <row r="720" customFormat="false" ht="15.75" hidden="false" customHeight="false" outlineLevel="0" collapsed="false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</row>
    <row r="721" customFormat="false" ht="15.75" hidden="false" customHeight="false" outlineLevel="0" collapsed="false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</row>
    <row r="722" customFormat="false" ht="15.75" hidden="false" customHeight="false" outlineLevel="0" collapsed="false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</row>
    <row r="723" customFormat="false" ht="15.75" hidden="false" customHeight="false" outlineLevel="0" collapsed="false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</row>
    <row r="724" customFormat="false" ht="15.75" hidden="false" customHeight="false" outlineLevel="0" collapsed="false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</row>
    <row r="725" customFormat="false" ht="15.75" hidden="false" customHeight="false" outlineLevel="0" collapsed="false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</row>
    <row r="726" customFormat="false" ht="15.75" hidden="false" customHeight="false" outlineLevel="0" collapsed="false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</row>
    <row r="727" customFormat="false" ht="15.75" hidden="false" customHeight="false" outlineLevel="0" collapsed="false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</row>
    <row r="728" customFormat="false" ht="15.75" hidden="false" customHeight="false" outlineLevel="0" collapsed="false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</row>
    <row r="729" customFormat="false" ht="15.75" hidden="false" customHeight="false" outlineLevel="0" collapsed="false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</row>
    <row r="730" customFormat="false" ht="15.75" hidden="false" customHeight="false" outlineLevel="0" collapsed="false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</row>
    <row r="731" customFormat="false" ht="15.75" hidden="false" customHeight="false" outlineLevel="0" collapsed="false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</row>
    <row r="732" customFormat="false" ht="15.75" hidden="false" customHeight="false" outlineLevel="0" collapsed="false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</row>
    <row r="733" customFormat="false" ht="15.75" hidden="false" customHeight="false" outlineLevel="0" collapsed="false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</row>
    <row r="734" customFormat="false" ht="15.75" hidden="false" customHeight="false" outlineLevel="0" collapsed="false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</row>
    <row r="735" customFormat="false" ht="15.75" hidden="false" customHeight="false" outlineLevel="0" collapsed="false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</row>
    <row r="736" customFormat="false" ht="15.75" hidden="false" customHeight="false" outlineLevel="0" collapsed="false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</row>
    <row r="737" customFormat="false" ht="15.75" hidden="false" customHeight="false" outlineLevel="0" collapsed="false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</row>
    <row r="738" customFormat="false" ht="15.75" hidden="false" customHeight="false" outlineLevel="0" collapsed="false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</row>
    <row r="739" customFormat="false" ht="15.75" hidden="false" customHeight="false" outlineLevel="0" collapsed="false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</row>
    <row r="740" customFormat="false" ht="15.75" hidden="false" customHeight="false" outlineLevel="0" collapsed="false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</row>
    <row r="741" customFormat="false" ht="15.75" hidden="false" customHeight="false" outlineLevel="0" collapsed="false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</row>
    <row r="742" customFormat="false" ht="15.75" hidden="false" customHeight="false" outlineLevel="0" collapsed="false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</row>
    <row r="743" customFormat="false" ht="15.75" hidden="false" customHeight="false" outlineLevel="0" collapsed="false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</row>
    <row r="744" customFormat="false" ht="15.75" hidden="false" customHeight="false" outlineLevel="0" collapsed="false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</row>
    <row r="745" customFormat="false" ht="15.75" hidden="false" customHeight="false" outlineLevel="0" collapsed="false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</row>
    <row r="746" customFormat="false" ht="15.75" hidden="false" customHeight="false" outlineLevel="0" collapsed="false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</row>
    <row r="747" customFormat="false" ht="15.75" hidden="false" customHeight="false" outlineLevel="0" collapsed="false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</row>
    <row r="748" customFormat="false" ht="15.75" hidden="false" customHeight="false" outlineLevel="0" collapsed="false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</row>
    <row r="749" customFormat="false" ht="15.75" hidden="false" customHeight="false" outlineLevel="0" collapsed="false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</row>
    <row r="750" customFormat="false" ht="15.75" hidden="false" customHeight="false" outlineLevel="0" collapsed="false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</row>
    <row r="751" customFormat="false" ht="15.75" hidden="false" customHeight="false" outlineLevel="0" collapsed="false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</row>
    <row r="752" customFormat="false" ht="15.75" hidden="false" customHeight="false" outlineLevel="0" collapsed="false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</row>
    <row r="753" customFormat="false" ht="15.75" hidden="false" customHeight="false" outlineLevel="0" collapsed="false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</row>
    <row r="754" customFormat="false" ht="15.75" hidden="false" customHeight="false" outlineLevel="0" collapsed="false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</row>
    <row r="755" customFormat="false" ht="15.75" hidden="false" customHeight="false" outlineLevel="0" collapsed="false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</row>
    <row r="756" customFormat="false" ht="15.75" hidden="false" customHeight="false" outlineLevel="0" collapsed="false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</row>
    <row r="757" customFormat="false" ht="15.75" hidden="false" customHeight="false" outlineLevel="0" collapsed="false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</row>
    <row r="758" customFormat="false" ht="15.75" hidden="false" customHeight="false" outlineLevel="0" collapsed="false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</row>
    <row r="759" customFormat="false" ht="15.75" hidden="false" customHeight="false" outlineLevel="0" collapsed="false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</row>
    <row r="760" customFormat="false" ht="15.75" hidden="false" customHeight="false" outlineLevel="0" collapsed="false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</row>
    <row r="761" customFormat="false" ht="15.75" hidden="false" customHeight="false" outlineLevel="0" collapsed="false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</row>
    <row r="762" customFormat="false" ht="15.75" hidden="false" customHeight="false" outlineLevel="0" collapsed="false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</row>
    <row r="763" customFormat="false" ht="15.75" hidden="false" customHeight="false" outlineLevel="0" collapsed="false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</row>
    <row r="764" customFormat="false" ht="15.75" hidden="false" customHeight="false" outlineLevel="0" collapsed="false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</row>
    <row r="765" customFormat="false" ht="15.75" hidden="false" customHeight="false" outlineLevel="0" collapsed="false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</row>
    <row r="766" customFormat="false" ht="15.75" hidden="false" customHeight="false" outlineLevel="0" collapsed="false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</row>
    <row r="767" customFormat="false" ht="15.75" hidden="false" customHeight="false" outlineLevel="0" collapsed="false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</row>
    <row r="768" customFormat="false" ht="15.75" hidden="false" customHeight="false" outlineLevel="0" collapsed="false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</row>
    <row r="769" customFormat="false" ht="15.75" hidden="false" customHeight="false" outlineLevel="0" collapsed="false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</row>
    <row r="770" customFormat="false" ht="15.75" hidden="false" customHeight="false" outlineLevel="0" collapsed="false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</row>
    <row r="771" customFormat="false" ht="15.75" hidden="false" customHeight="false" outlineLevel="0" collapsed="false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</row>
    <row r="772" customFormat="false" ht="15.75" hidden="false" customHeight="false" outlineLevel="0" collapsed="false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</row>
    <row r="773" customFormat="false" ht="15.75" hidden="false" customHeight="false" outlineLevel="0" collapsed="false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</row>
    <row r="774" customFormat="false" ht="15.75" hidden="false" customHeight="false" outlineLevel="0" collapsed="false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</row>
    <row r="775" customFormat="false" ht="15.75" hidden="false" customHeight="false" outlineLevel="0" collapsed="false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</row>
    <row r="776" customFormat="false" ht="15.75" hidden="false" customHeight="false" outlineLevel="0" collapsed="false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</row>
    <row r="777" customFormat="false" ht="15.75" hidden="false" customHeight="false" outlineLevel="0" collapsed="false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</row>
    <row r="778" customFormat="false" ht="15.75" hidden="false" customHeight="false" outlineLevel="0" collapsed="false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</row>
    <row r="779" customFormat="false" ht="15.75" hidden="false" customHeight="false" outlineLevel="0" collapsed="false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</row>
    <row r="780" customFormat="false" ht="15.75" hidden="false" customHeight="false" outlineLevel="0" collapsed="false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</row>
    <row r="781" customFormat="false" ht="15.75" hidden="false" customHeight="false" outlineLevel="0" collapsed="false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</row>
    <row r="782" customFormat="false" ht="15.75" hidden="false" customHeight="false" outlineLevel="0" collapsed="false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</row>
    <row r="783" customFormat="false" ht="15.75" hidden="false" customHeight="false" outlineLevel="0" collapsed="false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</row>
    <row r="784" customFormat="false" ht="15.75" hidden="false" customHeight="false" outlineLevel="0" collapsed="false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</row>
    <row r="785" customFormat="false" ht="15.75" hidden="false" customHeight="false" outlineLevel="0" collapsed="false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</row>
    <row r="786" customFormat="false" ht="15.75" hidden="false" customHeight="false" outlineLevel="0" collapsed="false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</row>
    <row r="787" customFormat="false" ht="15.75" hidden="false" customHeight="false" outlineLevel="0" collapsed="false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</row>
    <row r="788" customFormat="false" ht="15.75" hidden="false" customHeight="false" outlineLevel="0" collapsed="false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</row>
    <row r="789" customFormat="false" ht="15.75" hidden="false" customHeight="false" outlineLevel="0" collapsed="false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</row>
    <row r="790" customFormat="false" ht="15.75" hidden="false" customHeight="false" outlineLevel="0" collapsed="false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</row>
    <row r="791" customFormat="false" ht="15.75" hidden="false" customHeight="false" outlineLevel="0" collapsed="false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</row>
    <row r="792" customFormat="false" ht="15.75" hidden="false" customHeight="false" outlineLevel="0" collapsed="false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</row>
    <row r="793" customFormat="false" ht="15.75" hidden="false" customHeight="false" outlineLevel="0" collapsed="false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</row>
    <row r="794" customFormat="false" ht="15.75" hidden="false" customHeight="false" outlineLevel="0" collapsed="false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</row>
    <row r="795" customFormat="false" ht="15.75" hidden="false" customHeight="false" outlineLevel="0" collapsed="false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</row>
    <row r="796" customFormat="false" ht="15.75" hidden="false" customHeight="false" outlineLevel="0" collapsed="false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</row>
    <row r="797" customFormat="false" ht="15.75" hidden="false" customHeight="false" outlineLevel="0" collapsed="false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</row>
    <row r="798" customFormat="false" ht="15.75" hidden="false" customHeight="false" outlineLevel="0" collapsed="false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</row>
    <row r="799" customFormat="false" ht="15.75" hidden="false" customHeight="false" outlineLevel="0" collapsed="false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</row>
    <row r="800" customFormat="false" ht="15.75" hidden="false" customHeight="false" outlineLevel="0" collapsed="false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</row>
    <row r="801" customFormat="false" ht="15.75" hidden="false" customHeight="false" outlineLevel="0" collapsed="false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</row>
    <row r="802" customFormat="false" ht="15.75" hidden="false" customHeight="false" outlineLevel="0" collapsed="false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</row>
    <row r="803" customFormat="false" ht="15.75" hidden="false" customHeight="false" outlineLevel="0" collapsed="false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</row>
    <row r="804" customFormat="false" ht="15.75" hidden="false" customHeight="false" outlineLevel="0" collapsed="false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</row>
    <row r="805" customFormat="false" ht="15.75" hidden="false" customHeight="false" outlineLevel="0" collapsed="false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</row>
    <row r="806" customFormat="false" ht="15.75" hidden="false" customHeight="false" outlineLevel="0" collapsed="false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</row>
    <row r="807" customFormat="false" ht="15.75" hidden="false" customHeight="false" outlineLevel="0" collapsed="false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</row>
    <row r="808" customFormat="false" ht="15.75" hidden="false" customHeight="false" outlineLevel="0" collapsed="false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</row>
    <row r="809" customFormat="false" ht="15.75" hidden="false" customHeight="false" outlineLevel="0" collapsed="false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</row>
    <row r="810" customFormat="false" ht="15.75" hidden="false" customHeight="false" outlineLevel="0" collapsed="false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</row>
    <row r="811" customFormat="false" ht="15.75" hidden="false" customHeight="false" outlineLevel="0" collapsed="false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</row>
    <row r="812" customFormat="false" ht="15.75" hidden="false" customHeight="false" outlineLevel="0" collapsed="false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</row>
    <row r="813" customFormat="false" ht="15.75" hidden="false" customHeight="false" outlineLevel="0" collapsed="false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</row>
    <row r="814" customFormat="false" ht="15.75" hidden="false" customHeight="false" outlineLevel="0" collapsed="false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</row>
    <row r="815" customFormat="false" ht="15.75" hidden="false" customHeight="false" outlineLevel="0" collapsed="false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</row>
    <row r="816" customFormat="false" ht="15.75" hidden="false" customHeight="false" outlineLevel="0" collapsed="false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</row>
    <row r="817" customFormat="false" ht="15.75" hidden="false" customHeight="false" outlineLevel="0" collapsed="false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</row>
    <row r="818" customFormat="false" ht="15.75" hidden="false" customHeight="false" outlineLevel="0" collapsed="false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</row>
    <row r="819" customFormat="false" ht="15.75" hidden="false" customHeight="false" outlineLevel="0" collapsed="false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</row>
    <row r="820" customFormat="false" ht="15.75" hidden="false" customHeight="false" outlineLevel="0" collapsed="false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</row>
    <row r="821" customFormat="false" ht="15.75" hidden="false" customHeight="false" outlineLevel="0" collapsed="false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</row>
    <row r="822" customFormat="false" ht="15.75" hidden="false" customHeight="false" outlineLevel="0" collapsed="false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</row>
    <row r="823" customFormat="false" ht="15.75" hidden="false" customHeight="false" outlineLevel="0" collapsed="false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</row>
    <row r="824" customFormat="false" ht="15.75" hidden="false" customHeight="false" outlineLevel="0" collapsed="false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</row>
    <row r="825" customFormat="false" ht="15.75" hidden="false" customHeight="false" outlineLevel="0" collapsed="false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</row>
    <row r="826" customFormat="false" ht="15.75" hidden="false" customHeight="false" outlineLevel="0" collapsed="false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</row>
    <row r="827" customFormat="false" ht="15.75" hidden="false" customHeight="false" outlineLevel="0" collapsed="false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</row>
    <row r="828" customFormat="false" ht="15.75" hidden="false" customHeight="false" outlineLevel="0" collapsed="false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</row>
    <row r="829" customFormat="false" ht="15.75" hidden="false" customHeight="false" outlineLevel="0" collapsed="false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</row>
    <row r="830" customFormat="false" ht="15.75" hidden="false" customHeight="false" outlineLevel="0" collapsed="false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</row>
    <row r="831" customFormat="false" ht="15.75" hidden="false" customHeight="false" outlineLevel="0" collapsed="false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</row>
    <row r="832" customFormat="false" ht="15.75" hidden="false" customHeight="false" outlineLevel="0" collapsed="false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</row>
    <row r="833" customFormat="false" ht="15.75" hidden="false" customHeight="false" outlineLevel="0" collapsed="false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</row>
    <row r="834" customFormat="false" ht="15.75" hidden="false" customHeight="false" outlineLevel="0" collapsed="false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</row>
    <row r="835" customFormat="false" ht="15.75" hidden="false" customHeight="false" outlineLevel="0" collapsed="false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</row>
    <row r="836" customFormat="false" ht="15.75" hidden="false" customHeight="false" outlineLevel="0" collapsed="false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</row>
    <row r="837" customFormat="false" ht="15.75" hidden="false" customHeight="false" outlineLevel="0" collapsed="false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</row>
    <row r="838" customFormat="false" ht="15.75" hidden="false" customHeight="false" outlineLevel="0" collapsed="false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</row>
    <row r="839" customFormat="false" ht="15.75" hidden="false" customHeight="false" outlineLevel="0" collapsed="false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</row>
    <row r="840" customFormat="false" ht="15.75" hidden="false" customHeight="false" outlineLevel="0" collapsed="false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</row>
    <row r="841" customFormat="false" ht="15.75" hidden="false" customHeight="false" outlineLevel="0" collapsed="false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</row>
    <row r="842" customFormat="false" ht="15.75" hidden="false" customHeight="false" outlineLevel="0" collapsed="false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</row>
    <row r="843" customFormat="false" ht="15.75" hidden="false" customHeight="false" outlineLevel="0" collapsed="false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</row>
    <row r="844" customFormat="false" ht="15.75" hidden="false" customHeight="false" outlineLevel="0" collapsed="false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</row>
    <row r="845" customFormat="false" ht="15.75" hidden="false" customHeight="false" outlineLevel="0" collapsed="false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</row>
    <row r="846" customFormat="false" ht="15.75" hidden="false" customHeight="false" outlineLevel="0" collapsed="false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</row>
    <row r="847" customFormat="false" ht="15.75" hidden="false" customHeight="false" outlineLevel="0" collapsed="false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</row>
    <row r="848" customFormat="false" ht="15.75" hidden="false" customHeight="false" outlineLevel="0" collapsed="false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</row>
    <row r="849" customFormat="false" ht="15.75" hidden="false" customHeight="false" outlineLevel="0" collapsed="false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</row>
    <row r="850" customFormat="false" ht="15.75" hidden="false" customHeight="false" outlineLevel="0" collapsed="false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</row>
    <row r="851" customFormat="false" ht="15.75" hidden="false" customHeight="false" outlineLevel="0" collapsed="false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</row>
    <row r="852" customFormat="false" ht="15.75" hidden="false" customHeight="false" outlineLevel="0" collapsed="false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</row>
    <row r="853" customFormat="false" ht="15.75" hidden="false" customHeight="false" outlineLevel="0" collapsed="false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</row>
    <row r="854" customFormat="false" ht="15.75" hidden="false" customHeight="false" outlineLevel="0" collapsed="false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</row>
    <row r="855" customFormat="false" ht="15.75" hidden="false" customHeight="false" outlineLevel="0" collapsed="false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</row>
    <row r="856" customFormat="false" ht="15.75" hidden="false" customHeight="false" outlineLevel="0" collapsed="false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</row>
    <row r="857" customFormat="false" ht="15.75" hidden="false" customHeight="false" outlineLevel="0" collapsed="false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</row>
    <row r="858" customFormat="false" ht="15.75" hidden="false" customHeight="false" outlineLevel="0" collapsed="false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</row>
    <row r="859" customFormat="false" ht="15.75" hidden="false" customHeight="false" outlineLevel="0" collapsed="false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</row>
    <row r="860" customFormat="false" ht="15.75" hidden="false" customHeight="false" outlineLevel="0" collapsed="false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</row>
    <row r="861" customFormat="false" ht="15.75" hidden="false" customHeight="false" outlineLevel="0" collapsed="false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</row>
    <row r="862" customFormat="false" ht="15.75" hidden="false" customHeight="false" outlineLevel="0" collapsed="false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</row>
    <row r="863" customFormat="false" ht="15.75" hidden="false" customHeight="false" outlineLevel="0" collapsed="false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</row>
    <row r="864" customFormat="false" ht="15.75" hidden="false" customHeight="false" outlineLevel="0" collapsed="false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</row>
    <row r="865" customFormat="false" ht="15.75" hidden="false" customHeight="false" outlineLevel="0" collapsed="false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</row>
    <row r="866" customFormat="false" ht="15.75" hidden="false" customHeight="false" outlineLevel="0" collapsed="false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</row>
    <row r="867" customFormat="false" ht="15.75" hidden="false" customHeight="false" outlineLevel="0" collapsed="false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</row>
    <row r="868" customFormat="false" ht="15.75" hidden="false" customHeight="false" outlineLevel="0" collapsed="false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</row>
    <row r="869" customFormat="false" ht="15.75" hidden="false" customHeight="false" outlineLevel="0" collapsed="false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</row>
    <row r="870" customFormat="false" ht="15.75" hidden="false" customHeight="false" outlineLevel="0" collapsed="false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</row>
    <row r="871" customFormat="false" ht="15.75" hidden="false" customHeight="false" outlineLevel="0" collapsed="false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</row>
    <row r="872" customFormat="false" ht="15.75" hidden="false" customHeight="false" outlineLevel="0" collapsed="false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</row>
    <row r="873" customFormat="false" ht="15.75" hidden="false" customHeight="false" outlineLevel="0" collapsed="false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</row>
    <row r="874" customFormat="false" ht="15.75" hidden="false" customHeight="false" outlineLevel="0" collapsed="false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</row>
    <row r="875" customFormat="false" ht="15.75" hidden="false" customHeight="false" outlineLevel="0" collapsed="false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</row>
    <row r="876" customFormat="false" ht="15.75" hidden="false" customHeight="false" outlineLevel="0" collapsed="false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</row>
    <row r="877" customFormat="false" ht="15.75" hidden="false" customHeight="false" outlineLevel="0" collapsed="false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</row>
    <row r="878" customFormat="false" ht="15.75" hidden="false" customHeight="false" outlineLevel="0" collapsed="false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</row>
    <row r="879" customFormat="false" ht="15.75" hidden="false" customHeight="false" outlineLevel="0" collapsed="false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</row>
    <row r="880" customFormat="false" ht="15.75" hidden="false" customHeight="false" outlineLevel="0" collapsed="false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</row>
    <row r="881" customFormat="false" ht="15.75" hidden="false" customHeight="false" outlineLevel="0" collapsed="false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</row>
    <row r="882" customFormat="false" ht="15.75" hidden="false" customHeight="false" outlineLevel="0" collapsed="false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</row>
    <row r="883" customFormat="false" ht="15.75" hidden="false" customHeight="false" outlineLevel="0" collapsed="false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</row>
    <row r="884" customFormat="false" ht="15.75" hidden="false" customHeight="false" outlineLevel="0" collapsed="false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</row>
    <row r="885" customFormat="false" ht="15.75" hidden="false" customHeight="false" outlineLevel="0" collapsed="false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</row>
    <row r="886" customFormat="false" ht="15.75" hidden="false" customHeight="false" outlineLevel="0" collapsed="false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</row>
    <row r="887" customFormat="false" ht="15.75" hidden="false" customHeight="false" outlineLevel="0" collapsed="false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</row>
    <row r="888" customFormat="false" ht="15.75" hidden="false" customHeight="false" outlineLevel="0" collapsed="false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</row>
    <row r="889" customFormat="false" ht="15.75" hidden="false" customHeight="false" outlineLevel="0" collapsed="false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</row>
    <row r="890" customFormat="false" ht="15.75" hidden="false" customHeight="false" outlineLevel="0" collapsed="false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</row>
    <row r="891" customFormat="false" ht="15.75" hidden="false" customHeight="false" outlineLevel="0" collapsed="false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</row>
    <row r="892" customFormat="false" ht="15.75" hidden="false" customHeight="false" outlineLevel="0" collapsed="false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</row>
    <row r="893" customFormat="false" ht="15.75" hidden="false" customHeight="false" outlineLevel="0" collapsed="false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</row>
    <row r="894" customFormat="false" ht="15.75" hidden="false" customHeight="false" outlineLevel="0" collapsed="false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</row>
    <row r="895" customFormat="false" ht="15.75" hidden="false" customHeight="false" outlineLevel="0" collapsed="false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</row>
    <row r="896" customFormat="false" ht="15.75" hidden="false" customHeight="false" outlineLevel="0" collapsed="false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</row>
    <row r="897" customFormat="false" ht="15.75" hidden="false" customHeight="false" outlineLevel="0" collapsed="false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</row>
    <row r="898" customFormat="false" ht="15.75" hidden="false" customHeight="false" outlineLevel="0" collapsed="false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</row>
    <row r="899" customFormat="false" ht="15.75" hidden="false" customHeight="false" outlineLevel="0" collapsed="false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</row>
    <row r="900" customFormat="false" ht="15.75" hidden="false" customHeight="false" outlineLevel="0" collapsed="false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</row>
    <row r="901" customFormat="false" ht="15.75" hidden="false" customHeight="false" outlineLevel="0" collapsed="false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</row>
    <row r="902" customFormat="false" ht="15.75" hidden="false" customHeight="false" outlineLevel="0" collapsed="false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</row>
    <row r="903" customFormat="false" ht="15.75" hidden="false" customHeight="false" outlineLevel="0" collapsed="false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</row>
    <row r="904" customFormat="false" ht="15.75" hidden="false" customHeight="false" outlineLevel="0" collapsed="false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</row>
    <row r="905" customFormat="false" ht="15.75" hidden="false" customHeight="false" outlineLevel="0" collapsed="false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</row>
    <row r="906" customFormat="false" ht="15.75" hidden="false" customHeight="false" outlineLevel="0" collapsed="false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</row>
    <row r="907" customFormat="false" ht="15.75" hidden="false" customHeight="false" outlineLevel="0" collapsed="false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</row>
    <row r="908" customFormat="false" ht="15.75" hidden="false" customHeight="false" outlineLevel="0" collapsed="false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</row>
    <row r="909" customFormat="false" ht="15.75" hidden="false" customHeight="false" outlineLevel="0" collapsed="false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</row>
    <row r="910" customFormat="false" ht="15.75" hidden="false" customHeight="false" outlineLevel="0" collapsed="false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</row>
    <row r="911" customFormat="false" ht="15.75" hidden="false" customHeight="false" outlineLevel="0" collapsed="false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</row>
    <row r="912" customFormat="false" ht="15.75" hidden="false" customHeight="false" outlineLevel="0" collapsed="false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</row>
    <row r="913" customFormat="false" ht="15.75" hidden="false" customHeight="false" outlineLevel="0" collapsed="false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</row>
    <row r="914" customFormat="false" ht="15.75" hidden="false" customHeight="false" outlineLevel="0" collapsed="false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</row>
    <row r="915" customFormat="false" ht="15.75" hidden="false" customHeight="false" outlineLevel="0" collapsed="false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</row>
    <row r="916" customFormat="false" ht="15.75" hidden="false" customHeight="false" outlineLevel="0" collapsed="false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</row>
    <row r="917" customFormat="false" ht="15.75" hidden="false" customHeight="false" outlineLevel="0" collapsed="false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</row>
    <row r="918" customFormat="false" ht="15.75" hidden="false" customHeight="false" outlineLevel="0" collapsed="false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</row>
    <row r="919" customFormat="false" ht="15.75" hidden="false" customHeight="false" outlineLevel="0" collapsed="false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</row>
    <row r="920" customFormat="false" ht="15.75" hidden="false" customHeight="false" outlineLevel="0" collapsed="false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</row>
    <row r="921" customFormat="false" ht="15.75" hidden="false" customHeight="false" outlineLevel="0" collapsed="false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</row>
    <row r="922" customFormat="false" ht="15.75" hidden="false" customHeight="false" outlineLevel="0" collapsed="false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</row>
    <row r="923" customFormat="false" ht="15.75" hidden="false" customHeight="false" outlineLevel="0" collapsed="false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</row>
    <row r="924" customFormat="false" ht="15.75" hidden="false" customHeight="false" outlineLevel="0" collapsed="false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</row>
    <row r="925" customFormat="false" ht="15.75" hidden="false" customHeight="false" outlineLevel="0" collapsed="false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</row>
    <row r="926" customFormat="false" ht="15.75" hidden="false" customHeight="false" outlineLevel="0" collapsed="false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</row>
    <row r="927" customFormat="false" ht="15.75" hidden="false" customHeight="false" outlineLevel="0" collapsed="false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</row>
    <row r="928" customFormat="false" ht="15.75" hidden="false" customHeight="false" outlineLevel="0" collapsed="false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</row>
    <row r="929" customFormat="false" ht="15.75" hidden="false" customHeight="false" outlineLevel="0" collapsed="false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</row>
    <row r="930" customFormat="false" ht="15.75" hidden="false" customHeight="false" outlineLevel="0" collapsed="false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</row>
    <row r="931" customFormat="false" ht="15.75" hidden="false" customHeight="false" outlineLevel="0" collapsed="false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</row>
    <row r="932" customFormat="false" ht="15.75" hidden="false" customHeight="false" outlineLevel="0" collapsed="false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</row>
    <row r="933" customFormat="false" ht="15.75" hidden="false" customHeight="false" outlineLevel="0" collapsed="false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</row>
    <row r="934" customFormat="false" ht="15.75" hidden="false" customHeight="false" outlineLevel="0" collapsed="false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</row>
    <row r="935" customFormat="false" ht="15.75" hidden="false" customHeight="false" outlineLevel="0" collapsed="false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</row>
    <row r="936" customFormat="false" ht="15.75" hidden="false" customHeight="false" outlineLevel="0" collapsed="false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</row>
    <row r="937" customFormat="false" ht="15.75" hidden="false" customHeight="false" outlineLevel="0" collapsed="false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</row>
    <row r="938" customFormat="false" ht="15.75" hidden="false" customHeight="false" outlineLevel="0" collapsed="false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</row>
    <row r="939" customFormat="false" ht="15.75" hidden="false" customHeight="false" outlineLevel="0" collapsed="false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</row>
    <row r="940" customFormat="false" ht="15.75" hidden="false" customHeight="false" outlineLevel="0" collapsed="false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</row>
    <row r="941" customFormat="false" ht="15.75" hidden="false" customHeight="false" outlineLevel="0" collapsed="false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</row>
    <row r="942" customFormat="false" ht="15.75" hidden="false" customHeight="false" outlineLevel="0" collapsed="false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</row>
    <row r="943" customFormat="false" ht="15.75" hidden="false" customHeight="false" outlineLevel="0" collapsed="false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</row>
    <row r="944" customFormat="false" ht="15.75" hidden="false" customHeight="false" outlineLevel="0" collapsed="false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</row>
    <row r="945" customFormat="false" ht="15.75" hidden="false" customHeight="false" outlineLevel="0" collapsed="false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</row>
    <row r="946" customFormat="false" ht="15.75" hidden="false" customHeight="false" outlineLevel="0" collapsed="false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</row>
    <row r="947" customFormat="false" ht="15.75" hidden="false" customHeight="false" outlineLevel="0" collapsed="false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</row>
    <row r="948" customFormat="false" ht="15.75" hidden="false" customHeight="false" outlineLevel="0" collapsed="false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</row>
    <row r="949" customFormat="false" ht="15.75" hidden="false" customHeight="false" outlineLevel="0" collapsed="false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</row>
    <row r="950" customFormat="false" ht="15.75" hidden="false" customHeight="false" outlineLevel="0" collapsed="false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</row>
    <row r="951" customFormat="false" ht="15.75" hidden="false" customHeight="false" outlineLevel="0" collapsed="false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</row>
    <row r="952" customFormat="false" ht="15.75" hidden="false" customHeight="false" outlineLevel="0" collapsed="false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</row>
    <row r="953" customFormat="false" ht="15.75" hidden="false" customHeight="false" outlineLevel="0" collapsed="false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</row>
    <row r="954" customFormat="false" ht="15.75" hidden="false" customHeight="false" outlineLevel="0" collapsed="false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</row>
    <row r="955" customFormat="false" ht="15.75" hidden="false" customHeight="false" outlineLevel="0" collapsed="false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</row>
    <row r="956" customFormat="false" ht="15.75" hidden="false" customHeight="false" outlineLevel="0" collapsed="false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</row>
    <row r="957" customFormat="false" ht="15.75" hidden="false" customHeight="false" outlineLevel="0" collapsed="false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</row>
    <row r="958" customFormat="false" ht="15.75" hidden="false" customHeight="false" outlineLevel="0" collapsed="false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</row>
    <row r="959" customFormat="false" ht="15.75" hidden="false" customHeight="false" outlineLevel="0" collapsed="false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</row>
    <row r="960" customFormat="false" ht="15.75" hidden="false" customHeight="false" outlineLevel="0" collapsed="false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</row>
    <row r="961" customFormat="false" ht="15.75" hidden="false" customHeight="false" outlineLevel="0" collapsed="false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</row>
    <row r="962" customFormat="false" ht="15.75" hidden="false" customHeight="false" outlineLevel="0" collapsed="false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</row>
    <row r="963" customFormat="false" ht="15.75" hidden="false" customHeight="false" outlineLevel="0" collapsed="false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</row>
    <row r="964" customFormat="false" ht="15.75" hidden="false" customHeight="false" outlineLevel="0" collapsed="false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</row>
    <row r="965" customFormat="false" ht="15.75" hidden="false" customHeight="false" outlineLevel="0" collapsed="false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</row>
    <row r="966" customFormat="false" ht="15.75" hidden="false" customHeight="false" outlineLevel="0" collapsed="false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</row>
    <row r="967" customFormat="false" ht="15.75" hidden="false" customHeight="false" outlineLevel="0" collapsed="false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</row>
    <row r="968" customFormat="false" ht="15.75" hidden="false" customHeight="false" outlineLevel="0" collapsed="false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</row>
    <row r="969" customFormat="false" ht="15.75" hidden="false" customHeight="false" outlineLevel="0" collapsed="false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</row>
    <row r="970" customFormat="false" ht="15.75" hidden="false" customHeight="false" outlineLevel="0" collapsed="false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</row>
    <row r="971" customFormat="false" ht="15.75" hidden="false" customHeight="false" outlineLevel="0" collapsed="false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</row>
    <row r="972" customFormat="false" ht="15.75" hidden="false" customHeight="false" outlineLevel="0" collapsed="false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</row>
    <row r="973" customFormat="false" ht="15.75" hidden="false" customHeight="false" outlineLevel="0" collapsed="false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</row>
    <row r="974" customFormat="false" ht="15.75" hidden="false" customHeight="false" outlineLevel="0" collapsed="false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</row>
    <row r="975" customFormat="false" ht="15.75" hidden="false" customHeight="false" outlineLevel="0" collapsed="false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</row>
    <row r="976" customFormat="false" ht="15.75" hidden="false" customHeight="false" outlineLevel="0" collapsed="false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</row>
  </sheetData>
  <mergeCells count="2">
    <mergeCell ref="C15:E15"/>
    <mergeCell ref="G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2026-07-19T15:37:38Z</dcterms:created>
  <dc:creator>openpyxl</dc:creator>
  <dc:description/>
  <dc:language>en-US</dc:language>
  <cp:lastModifiedBy/>
  <dcterms:modified xsi:type="dcterms:W3CDTF">2026-07-19T15:37:39Z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