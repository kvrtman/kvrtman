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 Bureau Decision" sheetId="1" state="visible" r:id="rId3"/>
  </sheets>
  <definedNames>
    <definedName function="false" hidden="false" localSheetId="0" name="_xlnm.Print_Area" vbProcedure="false">'Card Bureau Decision'!$A$1:$D$29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<sst xmlns="http://schemas.openxmlformats.org/spreadsheetml/2006/main" count="31" uniqueCount="28">
  <si>
    <t xml:space="preserve">First card order: bureau selection (IDEMIA vs MM)</t>
  </si>
  <si>
    <t xml:space="preserve">Rule agreed with Ivan: like-for-like scope, all lines in (printing, personalization, envelope, collaterals, QR personalization), go with the cheaper. Artwork is paid either way at market price, no hard feelings.</t>
  </si>
  <si>
    <t xml:space="preserve">Context: MM appears to add margin on top of bureau production (no volume discount passed through), so a direct like-for-like total decides. Yellow = fill from the two final quotes.</t>
  </si>
  <si>
    <t xml:space="preserve">Volume assumption (cards in first order)</t>
  </si>
  <si>
    <t xml:space="preserve">Set the same volume for both quotes; bureau pricing is volume-driven.</t>
  </si>
  <si>
    <t xml:space="preserve">Cost line (per card, PHP)</t>
  </si>
  <si>
    <t xml:space="preserve">IDEMIA</t>
  </si>
  <si>
    <t xml:space="preserve">MM</t>
  </si>
  <si>
    <t xml:space="preserve">Notes</t>
  </si>
  <si>
    <t xml:space="preserve">Card printing (numberless body)</t>
  </si>
  <si>
    <t xml:space="preserve">Personalization</t>
  </si>
  <si>
    <t xml:space="preserve">QR code personalization</t>
  </si>
  <si>
    <t xml:space="preserve">Envelope</t>
  </si>
  <si>
    <t xml:space="preserve">Collaterals / inserts</t>
  </si>
  <si>
    <t xml:space="preserve">Delivery and logistics</t>
  </si>
  <si>
    <t xml:space="preserve">Other per-card fees</t>
  </si>
  <si>
    <t xml:space="preserve">Per-card total</t>
  </si>
  <si>
    <t xml:space="preserve">One-time items (PHP)</t>
  </si>
  <si>
    <t xml:space="preserve">Artwork</t>
  </si>
  <si>
    <t xml:space="preserve">Market price either way; already scoped by Nelly incl. artwork.</t>
  </si>
  <si>
    <t xml:space="preserve">Setup / tooling</t>
  </si>
  <si>
    <t xml:space="preserve">Other one-time fees</t>
  </si>
  <si>
    <t xml:space="preserve">One-time total</t>
  </si>
  <si>
    <t xml:space="preserve">Total for the first order</t>
  </si>
  <si>
    <t xml:space="preserve">Difference (savings by going cheaper)</t>
  </si>
  <si>
    <t xml:space="preserve">Recommendation</t>
  </si>
  <si>
    <t xml:space="preserve">Decision logic: same scope on every line, same volume, cheaper total wins. If MM cannot beat direct bureau pricing, there is no value added in the middle.</t>
  </si>
  <si>
    <t xml:space="preserve">Outcome statement for the share-out: we compared like for like, we go with [winner], and we save PHP [difference] on the first order.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</si>
</sst>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03AA9"/>
      <name val="Arial"/>
      <family val="0"/>
      <charset val="1"/>
    </font>
    <font>
      <sz val="9"/>
      <color rgb="FF8A8A82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203AA9"/>
      <name val="Arial"/>
      <family val="0"/>
      <charset val="1"/>
    </font>
    <font>
      <b val="true"/>
      <sz val="11"/>
      <color rgb="FF203AA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C9"/>
        <bgColor rgb="FFFFFF99"/>
      </patternFill>
    </fill>
    <fill>
      <patternFill patternType="solid">
        <fgColor rgb="FF203AA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2"/>
      <rgbColor rgb="FF9999FF"/>
      <rgbColor rgb="FF993366"/>
      <rgbColor rgb="FFFFF3C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03AA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D5" s="2" t="s">
        <v>4</v>
      </c>
    </row>
    <row r="7" customFormat="false" ht="21.75" hidden="false" customHeight="true" outlineLevel="0" collapsed="false">
      <c r="A7" s="5" t="s">
        <v>5</v>
      </c>
      <c r="B7" s="5" t="s">
        <v>6</v>
      </c>
      <c r="C7" s="5" t="s">
        <v>7</v>
      </c>
      <c r="D7" s="5" t="s">
        <v>8</v>
      </c>
    </row>
    <row r="8" customFormat="false" ht="15" hidden="false" customHeight="false" outlineLevel="0" collapsed="false">
      <c r="A8" s="6" t="s">
        <v>9</v>
      </c>
      <c r="B8" s="7"/>
      <c r="C8" s="7"/>
      <c r="D8" s="8"/>
    </row>
    <row r="9" customFormat="false" ht="15" hidden="false" customHeight="false" outlineLevel="0" collapsed="false">
      <c r="A9" s="6" t="s">
        <v>10</v>
      </c>
      <c r="B9" s="7"/>
      <c r="C9" s="7"/>
      <c r="D9" s="8"/>
    </row>
    <row r="10" customFormat="false" ht="15" hidden="false" customHeight="false" outlineLevel="0" collapsed="false">
      <c r="A10" s="6" t="s">
        <v>11</v>
      </c>
      <c r="B10" s="7"/>
      <c r="C10" s="7"/>
      <c r="D10" s="8"/>
    </row>
    <row r="11" customFormat="false" ht="15" hidden="false" customHeight="false" outlineLevel="0" collapsed="false">
      <c r="A11" s="6" t="s">
        <v>12</v>
      </c>
      <c r="B11" s="7"/>
      <c r="C11" s="7"/>
      <c r="D11" s="8"/>
    </row>
    <row r="12" customFormat="false" ht="15" hidden="false" customHeight="false" outlineLevel="0" collapsed="false">
      <c r="A12" s="6" t="s">
        <v>13</v>
      </c>
      <c r="B12" s="7"/>
      <c r="C12" s="7"/>
      <c r="D12" s="8"/>
    </row>
    <row r="13" customFormat="false" ht="15" hidden="false" customHeight="false" outlineLevel="0" collapsed="false">
      <c r="A13" s="6" t="s">
        <v>14</v>
      </c>
      <c r="B13" s="7"/>
      <c r="C13" s="7"/>
      <c r="D13" s="8"/>
    </row>
    <row r="14" customFormat="false" ht="15" hidden="false" customHeight="false" outlineLevel="0" collapsed="false">
      <c r="A14" s="6" t="s">
        <v>15</v>
      </c>
      <c r="B14" s="7"/>
      <c r="C14" s="7"/>
      <c r="D14" s="8"/>
    </row>
    <row r="15" customFormat="false" ht="15" hidden="false" customHeight="false" outlineLevel="0" collapsed="false">
      <c r="A15" s="9" t="s">
        <v>16</v>
      </c>
      <c r="B15" s="10" t="n">
        <f aca="false">SUM(B8:B14)</f>
        <v>0</v>
      </c>
      <c r="C15" s="10" t="n">
        <f aca="false">SUM(C8:C14)</f>
        <v>0</v>
      </c>
      <c r="D15" s="8"/>
    </row>
    <row r="17" customFormat="false" ht="21.75" hidden="false" customHeight="true" outlineLevel="0" collapsed="false">
      <c r="A17" s="5" t="s">
        <v>17</v>
      </c>
      <c r="B17" s="5" t="s">
        <v>6</v>
      </c>
      <c r="C17" s="5" t="s">
        <v>7</v>
      </c>
      <c r="D17" s="5" t="s">
        <v>8</v>
      </c>
    </row>
    <row r="18" customFormat="false" ht="15" hidden="false" customHeight="false" outlineLevel="0" collapsed="false">
      <c r="A18" s="6" t="s">
        <v>18</v>
      </c>
      <c r="B18" s="11"/>
      <c r="C18" s="11"/>
      <c r="D18" s="12" t="s">
        <v>19</v>
      </c>
    </row>
    <row r="19" customFormat="false" ht="15" hidden="false" customHeight="false" outlineLevel="0" collapsed="false">
      <c r="A19" s="6" t="s">
        <v>20</v>
      </c>
      <c r="B19" s="11"/>
      <c r="C19" s="11"/>
      <c r="D19" s="12"/>
    </row>
    <row r="20" customFormat="false" ht="15" hidden="false" customHeight="false" outlineLevel="0" collapsed="false">
      <c r="A20" s="6" t="s">
        <v>21</v>
      </c>
      <c r="B20" s="11"/>
      <c r="C20" s="11"/>
      <c r="D20" s="12"/>
    </row>
    <row r="21" customFormat="false" ht="15" hidden="false" customHeight="false" outlineLevel="0" collapsed="false">
      <c r="A21" s="9" t="s">
        <v>22</v>
      </c>
      <c r="B21" s="13" t="n">
        <f aca="false">SUM(B18:B20)</f>
        <v>0</v>
      </c>
      <c r="C21" s="13" t="n">
        <f aca="false">SUM(C18:C20)</f>
        <v>0</v>
      </c>
      <c r="D21" s="8"/>
    </row>
    <row r="23" customFormat="false" ht="15" hidden="false" customHeight="false" outlineLevel="0" collapsed="false">
      <c r="A23" s="14" t="s">
        <v>23</v>
      </c>
      <c r="B23" s="15" t="str">
        <f aca="false">IF($B$5="","fill volume",B15*$B$5+B21)</f>
        <v>fill volume</v>
      </c>
      <c r="C23" s="15" t="str">
        <f aca="false">IF($B$5="","fill volume",C15*$B$5+C21)</f>
        <v>fill volume</v>
      </c>
    </row>
    <row r="24" customFormat="false" ht="15" hidden="false" customHeight="false" outlineLevel="0" collapsed="false">
      <c r="A24" s="3" t="s">
        <v>24</v>
      </c>
      <c r="B24" s="15" t="str">
        <f aca="false">IF($B$5="","-",ABS(B23-C23))</f>
        <v>-</v>
      </c>
    </row>
    <row r="25" customFormat="false" ht="15" hidden="false" customHeight="false" outlineLevel="0" collapsed="false">
      <c r="A25" s="14" t="s">
        <v>25</v>
      </c>
      <c r="B25" s="16" t="str">
        <f aca="false">IF($B$5="","-",IF(B23&lt;C23,"IDEMIA",IF(C23&lt;B23,"MM","Tie")))</f>
        <v>-</v>
      </c>
    </row>
    <row r="27" customFormat="false" ht="15" hidden="false" customHeight="false" outlineLevel="0" collapsed="false">
      <c r="A27" s="2" t="s">
        <v>26</v>
      </c>
    </row>
    <row r="28" customFormat="false" ht="15" hidden="false" customHeight="false" outlineLevel="0" collapsed="false">
      <c r="A28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2026-07-20T14:35:36Z</dcterms:created>
  <dc:creator>openpyxl</dc:creator>
  <dc:description/>
  <dc:language>en-US</dc:language>
  <cp:lastModifiedBy/>
  <dcterms:modified xsi:type="dcterms:W3CDTF">2026-07-20T14:35:36Z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