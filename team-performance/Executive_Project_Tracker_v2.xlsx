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Master Rollup" sheetId="2" state="visible" r:id="rId4"/>
    <sheet name="KPI Targets H2" sheetId="3" state="visible" r:id="rId5"/>
    <sheet name="JV" sheetId="4" state="visible" r:id="rId6"/>
    <sheet name="Anton" sheetId="5" state="visible" r:id="rId7"/>
    <sheet name="Manzil" sheetId="6" state="visible" r:id="rId8"/>
    <sheet name="Elias" sheetId="7" state="visible" r:id="rId9"/>
    <sheet name="Jastin" sheetId="8" state="visible" r:id="rId10"/>
    <sheet name="KPI Key Drivers" sheetId="9" state="visible" r:id="rId1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<sst xmlns="http://schemas.openxmlformats.org/spreadsheetml/2006/main" count="798" uniqueCount="300">
  <si>
    <t xml:space="preserve">Executive Project Tracker v2, POS Product Team (H2 2026)</t>
  </si>
  <si>
    <t xml:space="preserve">One file, shared with the whole team. One tab per owner plus a consolidated Master. Linked to the PBT Metric Tree.</t>
  </si>
  <si>
    <t xml:space="preserve">How the team is measured (agreed with Ivan, Jul call)</t>
  </si>
  <si>
    <t xml:space="preserve">PMs are not scored on hitting line volumes. Volume and PBT numbers are management-owned; the team is not punished for them ("they are not magicians"). Sales-style volume KPIs belong to the network team; our target is profit, and sometimes less sales means more profit.</t>
  </si>
  <si>
    <t xml:space="preserve">What PMs own and are scored on is DELIVERY of the agreed projects: Speed (on time, or faster) and Quality (delivered at the expected level, thought through, minimal resyncs). The bar is the person's seniority: juniors get a mistake discount, non-juniors must deliver magic. "I am not comparing you with him. I am comparing your bar with your performance."</t>
  </si>
  <si>
    <t xml:space="preserve">Initiative is the third dimension, assessed for growth, not for bonus: does the person know their numbers cold and connect problems to actions, bringing prioritized initiatives (easy vs difficult, high vs low impact).</t>
  </si>
  <si>
    <t xml:space="preserve">Purpose</t>
  </si>
  <si>
    <t xml:space="preserve">One row per project, straight to the point. ClickUp stays the main working document and source of truth.</t>
  </si>
  <si>
    <t xml:space="preserve">This sheet is the executive-level view: what the project is, whether it is moving, what it is expected to move (Impact), and whether we delivered when we said we would.</t>
  </si>
  <si>
    <t xml:space="preserve">Everyone sees everything here. The point is a single, centralized view of what the team is doing.</t>
  </si>
  <si>
    <t xml:space="preserve">The columns</t>
  </si>
  <si>
    <t xml:space="preserve">Project, Status, Priority, KPI Key Driver, Impact (bottom-up), Added, Due, Delivered, Speed, Resyncs, Summary, ClickUp or BRD Link. The Master also has an Owner column.</t>
  </si>
  <si>
    <t xml:space="preserve">Added = the date the project entered the tracker. Due = the date agreed with the owner. Delivered = the date it actually shipped.</t>
  </si>
  <si>
    <t xml:space="preserve">Speed is automatic from Due vs Delivered: Faster, On time, or Late. A dash means it was delivered without an agreed Due date; set Due dates so Speed can be scored.</t>
  </si>
  <si>
    <t xml:space="preserve">Resyncs counts how many times the work bounced back for rework or another sync. It is the quality proxy: a well-thought-through delivery needs no repeated syncs (Ivan: "if I have to resync and come back again and again, the quality goes down automatically").</t>
  </si>
  <si>
    <t xml:space="preserve">Status and Priority are dropdowns. Yellow cells are blanks the owner must fill: Impact, Added and Due before a project enters In Progress; Delivered when it ships.</t>
  </si>
  <si>
    <t xml:space="preserve">In Google Sheets, Added and Delivered can be stamped automatically with a small onEdit script (see team-performance/src in the repo), or with iterative-calculation formulas.</t>
  </si>
  <si>
    <t xml:space="preserve">Status and Priority values</t>
  </si>
  <si>
    <t xml:space="preserve">Status: Not Started, In Progress, Blocked, Completed, Cancelled.</t>
  </si>
  <si>
    <t xml:space="preserve">Priority: Urgent, High, Normal, Low.</t>
  </si>
  <si>
    <t xml:space="preserve">Ranking rule</t>
  </si>
  <si>
    <t xml:space="preserve">Rows are ordered Urgent, High, Normal, Low, with Completed and Cancelled sent to the bottom.</t>
  </si>
  <si>
    <t xml:space="preserve">Operating cadence</t>
  </si>
  <si>
    <t xml:space="preserve">Weekly standup: walk the Master top-down, blocked and overdue first, update Due, Delivered and Resyncs. Details live in ClickUp via the link column.</t>
  </si>
  <si>
    <t xml:space="preserve">Monthly: KPI readout on the KPI Targets H2 tab against Nhat's PBT-per-line model and Jenny's metric-tree dashboard. Context for everyone; scoring for no one.</t>
  </si>
  <si>
    <t xml:space="preserve">Quarterly: individual reviews on the QuantumLight (Revolut) Product Owner scorecard, graded against the seniority talent bar. Speed and Resyncs here are the evidence. Kurt runs a retro review for the past 3 months now rather than waiting for December (Ivan, Jul call).</t>
  </si>
  <si>
    <t xml:space="preserve">Lock each tab to one person (done inside Google Sheets)</t>
  </si>
  <si>
    <t xml:space="preserve">1. Share the whole file with the 5 owners as Editor, and the wider team as Viewer.</t>
  </si>
  <si>
    <t xml:space="preserve">2. On each owner tab, use Data, then Protect sheets and ranges, then Set permissions, then Custom.</t>
  </si>
  <si>
    <t xml:space="preserve">3. Add only that owner's email plus your own, then Done.</t>
  </si>
  <si>
    <t xml:space="preserve">Design</t>
  </si>
  <si>
    <t xml:space="preserve">Minimalist, per the Billease brand: white-dominant, structural blue 203AA9 headers, ink text, rationed color.</t>
  </si>
  <si>
    <t xml:space="preserve">Master Rollup: all projects, ranked (Urgent, High, Normal, Low, done at bottom). Team = Viewer. Yellow = owner to fill. Speed is automatic.</t>
  </si>
  <si>
    <t xml:space="preserve">Owner</t>
  </si>
  <si>
    <t xml:space="preserve">Project</t>
  </si>
  <si>
    <t xml:space="preserve">Status</t>
  </si>
  <si>
    <t xml:space="preserve">Priority</t>
  </si>
  <si>
    <t xml:space="preserve">KPI Key Driver</t>
  </si>
  <si>
    <t xml:space="preserve">Impact (bottom-up)</t>
  </si>
  <si>
    <t xml:space="preserve">Added</t>
  </si>
  <si>
    <t xml:space="preserve">Due</t>
  </si>
  <si>
    <t xml:space="preserve">Delivered</t>
  </si>
  <si>
    <t xml:space="preserve">Speed</t>
  </si>
  <si>
    <t xml:space="preserve">Resyncs</t>
  </si>
  <si>
    <t xml:space="preserve">Summary</t>
  </si>
  <si>
    <t xml:space="preserve">ClickUp / BRD Link</t>
  </si>
  <si>
    <t xml:space="preserve">JV Manlangit</t>
  </si>
  <si>
    <t xml:space="preserve">SAP Video Capture</t>
  </si>
  <si>
    <t xml:space="preserve">In Progress</t>
  </si>
  <si>
    <t xml:space="preserve">Urgent</t>
  </si>
  <si>
    <t xml:space="preserve">SAP - D2 Disbursement per active agent</t>
  </si>
  <si>
    <t xml:space="preserve">Video statement capture for high-risk clients with AI transcript + facial verification. Phase 1 live. AI status update pending.</t>
  </si>
  <si>
    <t xml:space="preserve">https://app.clickup.com/t/86ewdm810</t>
  </si>
  <si>
    <t xml:space="preserve">Anton Betia</t>
  </si>
  <si>
    <t xml:space="preserve">Item-Based Pricing</t>
  </si>
  <si>
    <t xml:space="preserve">Blocked</t>
  </si>
  <si>
    <t xml:space="preserve">Pricing - Merchants (Chi)</t>
  </si>
  <si>
    <t xml:space="preserve">Apply promo rules to selected products, not whole catalog. Part of products engine. awaiting merchant requirements.</t>
  </si>
  <si>
    <t xml:space="preserve">https://app.clickup.com/t/86ewdm7xz</t>
  </si>
  <si>
    <t xml:space="preserve">Elias Marcella</t>
  </si>
  <si>
    <t xml:space="preserve">Credit Line (Launch)</t>
  </si>
  <si>
    <t xml:space="preserve">Credit Line - D1 Utilization &amp; drawdown</t>
  </si>
  <si>
    <t xml:space="preserve">CL utilization and drawdown, target set ~30 days post-launch</t>
  </si>
  <si>
    <t xml:space="preserve">Launched 15 Jul (F&amp;F/ETB). Phase-1 open: repayment/statement emails, eligibility, biz events, web FAQ, pending-txn spec. Refund/chargeback &amp; IPP later phases.</t>
  </si>
  <si>
    <t xml:space="preserve">https://app.clickup.com/t/9008174123/86eyaav7k</t>
  </si>
  <si>
    <t xml:space="preserve">Motorcycle Loans (KServico)</t>
  </si>
  <si>
    <t xml:space="preserve">High</t>
  </si>
  <si>
    <t xml:space="preserve">Motorcycles - D1 Moto monthly disbursement</t>
  </si>
  <si>
    <t xml:space="preserve">Moto monthly run rate, gated by Nhat</t>
  </si>
  <si>
    <t xml:space="preserve">Addendum &amp; SA guide done, delivered via SAP. refresher pending. return-config changes being finalized.</t>
  </si>
  <si>
    <t xml:space="preserve">https://app.clickup.com/t/9008174123/86ey83p6c</t>
  </si>
  <si>
    <t xml:space="preserve">Special Deals Offer to Low-Risk Customers</t>
  </si>
  <si>
    <t xml:space="preserve">Deals - D1 Monthly disbursement</t>
  </si>
  <si>
    <t xml:space="preserve">Conversion lift on low-risk base, size with Nhat before comms</t>
  </si>
  <si>
    <t xml:space="preserve">Additional-limit offer to low-risk clients to lift conversion. DE deployed. comms Jul 20.</t>
  </si>
  <si>
    <t xml:space="preserve">https://app.clickup.com/t/9008174123/86exz94uf</t>
  </si>
  <si>
    <t xml:space="preserve">Deals API Documentation</t>
  </si>
  <si>
    <t xml:space="preserve">Gather partner API docs (Giftaway, 3Cat) to scope integration timeline.</t>
  </si>
  <si>
    <t xml:space="preserve">https://app.clickup.com/t/9008174123/86ey90pqa</t>
  </si>
  <si>
    <t xml:space="preserve">Vouchers on Deals</t>
  </si>
  <si>
    <t xml:space="preserve">Enable voucher purchases on Deals. preparing rails.</t>
  </si>
  <si>
    <t xml:space="preserve">https://app.clickup.com/t/9008174123/86eyadmt7</t>
  </si>
  <si>
    <t xml:space="preserve">Launch Deals on Web</t>
  </si>
  <si>
    <t xml:space="preserve">Deals - D3 Delivery on roadmap</t>
  </si>
  <si>
    <t xml:space="preserve">Web version of Deals. Phase 1 UI testing paused as of Jul 15.</t>
  </si>
  <si>
    <t xml:space="preserve">Manzil Balani</t>
  </si>
  <si>
    <t xml:space="preserve">Deals Merchant BD Pipeline</t>
  </si>
  <si>
    <t xml:space="preserve">Deals BD - D2 New merchants live &amp; disbursing</t>
  </si>
  <si>
    <t xml:space="preserve">New merchants live and disbursing, ticket uplift</t>
  </si>
  <si>
    <t xml:space="preserve">Brand pipeline. WARM: Kimstore, 3Cat, Hati, Laptop Factory, Samsung, PrimerGrp, PowerMac, AirAsia, Qoala. Rejected: MetroMart, Engkanto, DataBlitz, Vivo, Mandaue Foam.</t>
  </si>
  <si>
    <t xml:space="preserve">https://docs.google.com/spreadsheets/d/1Qx9NB9uO7TvVACgTXQszWOwBFCa_OTElUIsEwWYCVOM/</t>
  </si>
  <si>
    <t xml:space="preserve">Access Card</t>
  </si>
  <si>
    <t xml:space="preserve">Card - D2 Card unit economics</t>
  </si>
  <si>
    <t xml:space="preserve">Per-card break-even on interchange at target CAC</t>
  </si>
  <si>
    <t xml:space="preserve">BillEase Mastercard (numberless) w/ AUB &amp; MatchMove. MOA negotiation (audit cap, CS cert, VAPT). design + bureau RFPs out. activation BRD done. Target prod Q4 2026.</t>
  </si>
  <si>
    <t xml:space="preserve">https://docs.google.com/spreadsheets/d/1Vf8kaBSoQp1PeSw156nCNtYON_3ZJM5ZbR9xZPe8SjU/</t>
  </si>
  <si>
    <t xml:space="preserve">Risk-Based Pricing</t>
  </si>
  <si>
    <t xml:space="preserve">Pricing - Merchants/Risk</t>
  </si>
  <si>
    <t xml:space="preserve">Dynamic interest rates by client credit behaviour. Part of products engine. awaiting requirements.</t>
  </si>
  <si>
    <t xml:space="preserve">https://app.clickup.com/t/86ewn2hpd</t>
  </si>
  <si>
    <t xml:space="preserve">Jastin Lagumbay</t>
  </si>
  <si>
    <t xml:space="preserve">SM Appliances - Acknowledgement Receipt</t>
  </si>
  <si>
    <t xml:space="preserve">Merchant Onboarding - D2 Onboarding cycle time</t>
  </si>
  <si>
    <t xml:space="preserve">Read-only approved-transaction receipt for merchants (75%). Dev done. awaiting SM signatory.</t>
  </si>
  <si>
    <t xml:space="preserve">https://app.clickup.com/t/86ewpkfpv</t>
  </si>
  <si>
    <t xml:space="preserve">Supervisors/RMs Stamp in Create Trx Report</t>
  </si>
  <si>
    <t xml:space="preserve">Adds supervisor/RM stamp to Create Trx Report (83%). Live for txns after Jun 16. validating incentives.</t>
  </si>
  <si>
    <t xml:space="preserve">https://app.clickup.com/t/86ex68b0u</t>
  </si>
  <si>
    <t xml:space="preserve">QRPh Chargeback Escalation (Netbank/AUB)</t>
  </si>
  <si>
    <t xml:space="preserve">QRPh - D1 Monthly disbursement run rate</t>
  </si>
  <si>
    <t xml:space="preserve">Protects the QRPh run rate</t>
  </si>
  <si>
    <t xml:space="preserve">Daily QRPh chargeback escalation &amp; checking for AUB and Netbank.</t>
  </si>
  <si>
    <t xml:space="preserve">https://app.clickup.com/t/9008174123/86ey9ztg7</t>
  </si>
  <si>
    <t xml:space="preserve">Merchant Onboarding Ops Queue (BAU)</t>
  </si>
  <si>
    <t xml:space="preserve">Daily BAU queue: shop/user/bank adds, onboarding, branch/name changes. ~20+ tickets/week, mostly same/next-day.</t>
  </si>
  <si>
    <t xml:space="preserve">https://docs.google.com/spreadsheets/d/1FXbhtIl3aNyH9zr5Zf_xpV_OaLrUeQVwTLEMQKsn_dg/</t>
  </si>
  <si>
    <t xml:space="preserve">Product Pricing / SAP Calculator PVT</t>
  </si>
  <si>
    <t xml:space="preserve">IT/PVT - Billy (D1 release quality gate)</t>
  </si>
  <si>
    <t xml:space="preserve">Pricing/tenor/IR validation across merchant scenarios (Android/iOS). Recent Fails at FC Home Lubao 3 &amp; Shaw need config fix.</t>
  </si>
  <si>
    <t xml:space="preserve">https://docs.google.com/spreadsheets/d/178O3aMK18zV_j96Xbp6UD3-QWxWX9QIFjTOju0fw-sM/</t>
  </si>
  <si>
    <t xml:space="preserve">Promoter Referral Program v2: Online Linking</t>
  </si>
  <si>
    <t xml:space="preserve">Normal</t>
  </si>
  <si>
    <t xml:space="preserve">Extends referral program to online transactions. BRD in progress. validation shifting to Merchants/Billease.</t>
  </si>
  <si>
    <t xml:space="preserve">https://app.clickup.com/9008174123/v/dc/8cevn1b-45778/8cevn1b-224358</t>
  </si>
  <si>
    <t xml:space="preserve">Feedback Form for Non-Converted Sign-ups</t>
  </si>
  <si>
    <t xml:space="preserve">Captures friction on agents' unconverted leads (25%). Adding conditional-question feature.</t>
  </si>
  <si>
    <t xml:space="preserve">https://app.clickup.com/t/86ewphrkt</t>
  </si>
  <si>
    <t xml:space="preserve">SAP Calculator</t>
  </si>
  <si>
    <t xml:space="preserve">Real-time SAP loan calculator from product config (40%). Mockup + ticket done. dev pending.</t>
  </si>
  <si>
    <t xml:space="preserve">https://app.clickup.com/t/86ex68cg9</t>
  </si>
  <si>
    <t xml:space="preserve">SAP Looker Dashboard</t>
  </si>
  <si>
    <t xml:space="preserve">BI - Jenny Ho (D1 dashboard)</t>
  </si>
  <si>
    <t xml:space="preserve">Looker reporting for Trx Requests, Non-Converted Sign-ups &amp; future SAP projects (50%). Dev pending.</t>
  </si>
  <si>
    <t xml:space="preserve">https://app.clickup.com/t/86ewqfqqa</t>
  </si>
  <si>
    <t xml:space="preserve">Deals UX Study</t>
  </si>
  <si>
    <t xml:space="preserve">Deals - D2 Acceptance/conversion</t>
  </si>
  <si>
    <t xml:space="preserve">UX study: brand-first vs agnostic Deals store. Regroup call scheduled.</t>
  </si>
  <si>
    <t xml:space="preserve">Multi-item per Merchant</t>
  </si>
  <si>
    <t xml:space="preserve">Same product across merchants with price-comparison screen. BRD drafted. design pending.</t>
  </si>
  <si>
    <t xml:space="preserve">https://app.clickup.com/t/9008174123/86ey9gdq1</t>
  </si>
  <si>
    <t xml:space="preserve">Location-Based Delivery</t>
  </si>
  <si>
    <t xml:space="preserve">Support coordinates + flag out-of-range deliveries. BRD + mockup for Kurt's input.</t>
  </si>
  <si>
    <t xml:space="preserve">https://app.clickup.com/t/9008174123/86eyavqf4</t>
  </si>
  <si>
    <t xml:space="preserve">Pick-Up Model</t>
  </si>
  <si>
    <t xml:space="preserve">Pickup-location fulfillment option instead of delivery. BRD + mockup for Kurt's input.</t>
  </si>
  <si>
    <t xml:space="preserve">https://app.clickup.com/t/9008174123/86eyavtqg</t>
  </si>
  <si>
    <t xml:space="preserve">Support for Pre-Owned on Deals</t>
  </si>
  <si>
    <t xml:space="preserve">Not Started</t>
  </si>
  <si>
    <t xml:space="preserve">Prepare rails for pre-owned listings (3Cat). Rails list being scoped.</t>
  </si>
  <si>
    <t xml:space="preserve">https://app.clickup.com/t/9008174123/86eyafcd5</t>
  </si>
  <si>
    <t xml:space="preserve">Credit Line for Deals</t>
  </si>
  <si>
    <t xml:space="preserve">Integrate Deals with Credit Line. Target August.</t>
  </si>
  <si>
    <t xml:space="preserve">https://app.clickup.com/t/9008174123/86ey7mar5</t>
  </si>
  <si>
    <t xml:space="preserve">Deals 360 Dashboard</t>
  </si>
  <si>
    <t xml:space="preserve">Expanded Deals 360 dashboard. requested columns from Jenny.</t>
  </si>
  <si>
    <t xml:space="preserve">https://app.clickup.com/t/9008174123/86ey90puc</t>
  </si>
  <si>
    <t xml:space="preserve">Adding Missing Deals Items</t>
  </si>
  <si>
    <t xml:space="preserve">Deals BD - D2 New merchants live</t>
  </si>
  <si>
    <t xml:space="preserve">Add products missing from Deals inventory. List provided. items pending.</t>
  </si>
  <si>
    <t xml:space="preserve">Integrate Merchant Guide to Billease Docs</t>
  </si>
  <si>
    <t xml:space="preserve">Fewer onboarding tickets via self-serve guide</t>
  </si>
  <si>
    <t xml:space="preserve">Single self-service Merchant Guide: handbook + 7 walkthroughs, vector screens, PII redaction. Target 30% fewer tickets.</t>
  </si>
  <si>
    <t xml:space="preserve">https://app.clickup.com/t/9008174123/86exz70h6</t>
  </si>
  <si>
    <t xml:space="preserve">Automate Onboarding Email</t>
  </si>
  <si>
    <t xml:space="preserve">Auto welcome email on first transition to Active (once only), with logging + retry.</t>
  </si>
  <si>
    <t xml:space="preserve">https://app.clickup.com/t/9008174123/86ev2ktw2</t>
  </si>
  <si>
    <t xml:space="preserve">Update 'How to Become a Merchant' Page</t>
  </si>
  <si>
    <t xml:space="preserve">Add rejection screen linking to QRPh FAQs. keep success screen largely the same.</t>
  </si>
  <si>
    <t xml:space="preserve">https://app.clickup.com/t/9008174123/86ey3qbz2</t>
  </si>
  <si>
    <t xml:space="preserve">SAP Announcement &amp; Quiz Module v2</t>
  </si>
  <si>
    <t xml:space="preserve">Low</t>
  </si>
  <si>
    <t xml:space="preserve">v1 enhancements: editable-after-activation, duplicate forms, data filter by TL &amp; SFT.</t>
  </si>
  <si>
    <t xml:space="preserve">SAP Announcement &amp; Quiz Module v1</t>
  </si>
  <si>
    <t xml:space="preserve">Completed</t>
  </si>
  <si>
    <t xml:space="preserve">Mandatory in-SAP info delivery + retention quiz per agent. Rolled to prod Jul 3.</t>
  </si>
  <si>
    <t xml:space="preserve">https://app.clickup.com/t/9008174123/86ey0ujv3</t>
  </si>
  <si>
    <t xml:space="preserve">Early Upsell</t>
  </si>
  <si>
    <t xml:space="preserve">Post-disbursement upsell leaflet + announcement/quiz. Live. ~94% completion as of Jul 10.</t>
  </si>
  <si>
    <t xml:space="preserve">Credit Line - Agent Announcement (SAP)</t>
  </si>
  <si>
    <t xml:space="preserve">Credit Line announcement + quiz delivered to agents via SAP Jul 16.</t>
  </si>
  <si>
    <t xml:space="preserve">Promoter Referral Program v1: Offline Linking</t>
  </si>
  <si>
    <t xml:space="preserve">Auto-rewards promoters for merchant-loan referrals (offline). Live. Giftaway credits monitored weekly.</t>
  </si>
  <si>
    <t xml:space="preserve">https://app.clickup.com/9008174123/v/dc/8cevn1b-45778/8cevn1b-219678</t>
  </si>
  <si>
    <t xml:space="preserve">Maxicare PRIMA Launch on Deals</t>
  </si>
  <si>
    <t xml:space="preserve">Maxicare PRIMA live on Deals Jul 10. first marketing blast Jul 21. iOS pending shorter descriptions.</t>
  </si>
  <si>
    <t xml:space="preserve">Adding Pay Later on Deals</t>
  </si>
  <si>
    <t xml:space="preserve">Cancelled</t>
  </si>
  <si>
    <t xml:space="preserve">Pay Later / convert-to-installment on Deals. Cancelled - redundant with Credit Line.</t>
  </si>
  <si>
    <t xml:space="preserve">https://app.clickup.com/t/9008174123/86ew51ha3</t>
  </si>
  <si>
    <t xml:space="preserve">Apply Promo at Category/Item Level</t>
  </si>
  <si>
    <t xml:space="preserve">Item/category-level promos. Deferred - to be built after the Product Engine (Chi).</t>
  </si>
  <si>
    <t xml:space="preserve">https://app.clickup.com/t/9008174123/86ey2gvyt</t>
  </si>
  <si>
    <t xml:space="preserve">KPI Targets H2 2026, per line (Tier 0 / Tier 1). Management-owned context.</t>
  </si>
  <si>
    <t xml:space="preserve">These numbers are owned by management (Ivan + Kurt, fed by Nhat's model and Jenny's dashboard). The team is NOT scored or punished on these outcomes; every PM must know their line cold and connect problems to actions. PM scoring lives in delivery (Speed x Quality on the tracker). Yellow = set with Ivan or fill monthly.</t>
  </si>
  <si>
    <t xml:space="preserve">Line outcomes, monthly volume (PHP M disbursement)</t>
  </si>
  <si>
    <t xml:space="preserve">Line</t>
  </si>
  <si>
    <t xml:space="preserve">Phase</t>
  </si>
  <si>
    <t xml:space="preserve">PM (context)</t>
  </si>
  <si>
    <t xml:space="preserve">Jul</t>
  </si>
  <si>
    <t xml:space="preserve">Aug</t>
  </si>
  <si>
    <t xml:space="preserve">Sep</t>
  </si>
  <si>
    <t xml:space="preserve">Oct</t>
  </si>
  <si>
    <t xml:space="preserve">Nov</t>
  </si>
  <si>
    <t xml:space="preserve">Dec</t>
  </si>
  <si>
    <t xml:space="preserve">YTD att.</t>
  </si>
  <si>
    <t xml:space="preserve">Basis / notes</t>
  </si>
  <si>
    <t xml:space="preserve">QRPh disbursement</t>
  </si>
  <si>
    <t xml:space="preserve">Star</t>
  </si>
  <si>
    <t xml:space="preserve">Jastin</t>
  </si>
  <si>
    <t xml:space="preserve">Run-rate to confirm with Ivan. Hold and defend the star line (chargebacks, onboarding cycle time).</t>
  </si>
  <si>
    <t xml:space="preserve">   actual</t>
  </si>
  <si>
    <t xml:space="preserve">Deals disbursement</t>
  </si>
  <si>
    <t xml:space="preserve">Question</t>
  </si>
  <si>
    <t xml:space="preserve">Anton + Manzil</t>
  </si>
  <si>
    <t xml:space="preserve">Staged monthly ramp at positive NPM. Stage sizes and timing set by management; the reject-salvage plan sizes the ramp.</t>
  </si>
  <si>
    <t xml:space="preserve">Moto (KServico)</t>
  </si>
  <si>
    <t xml:space="preserve">JV</t>
  </si>
  <si>
    <t xml:space="preserve">Run-rate gated by Nhat's unit-economics check.</t>
  </si>
  <si>
    <t xml:space="preserve">Deals, managed accounts</t>
  </si>
  <si>
    <t xml:space="preserve">Manzil</t>
  </si>
  <si>
    <t xml:space="preserve">ProTech, Maxicare, 3Cat. Maxicare live: soft launch first week, marketing on this week.</t>
  </si>
  <si>
    <t xml:space="preserve">Credit Line (utilization %, target set ~30 days post-launch)</t>
  </si>
  <si>
    <t xml:space="preserve">CL utilization / drawdown</t>
  </si>
  <si>
    <t xml:space="preserve">New launch</t>
  </si>
  <si>
    <t xml:space="preserve">Elias</t>
  </si>
  <si>
    <t xml:space="preserve">Launched 15 Jul (F&amp;F/ETB). Baseline first, then set the target with Ivan.</t>
  </si>
  <si>
    <t xml:space="preserve">Tier 0, PBT per line (PHP M, from Nhat's model)</t>
  </si>
  <si>
    <t xml:space="preserve">QRPh</t>
  </si>
  <si>
    <t xml:space="preserve">w/ Nhat</t>
  </si>
  <si>
    <t xml:space="preserve">From Nhat's model once live.</t>
  </si>
  <si>
    <t xml:space="preserve">Online</t>
  </si>
  <si>
    <t xml:space="preserve">Maintain</t>
  </si>
  <si>
    <t xml:space="preserve">Moto / Deals</t>
  </si>
  <si>
    <t xml:space="preserve">Phase says push volume, watch NPM.</t>
  </si>
  <si>
    <t xml:space="preserve">Credit Line</t>
  </si>
  <si>
    <t xml:space="preserve">Model rows live post-launch.</t>
  </si>
  <si>
    <t xml:space="preserve">Solar</t>
  </si>
  <si>
    <t xml:space="preserve">Kill or keep decision pending.</t>
  </si>
  <si>
    <t xml:space="preserve">Offline</t>
  </si>
  <si>
    <t xml:space="preserve">Cash cow</t>
  </si>
  <si>
    <t xml:space="preserve">Maintain, no PM by design.</t>
  </si>
  <si>
    <t xml:space="preserve">Milestones (dates, not monthly numbers)</t>
  </si>
  <si>
    <t xml:space="preserve">Milestone</t>
  </si>
  <si>
    <t xml:space="preserve">Done</t>
  </si>
  <si>
    <t xml:space="preserve">Notes</t>
  </si>
  <si>
    <t xml:space="preserve">CL: Gorg comment list turned into a checklist, validated 1:1</t>
  </si>
  <si>
    <t xml:space="preserve">Elias + Kurt</t>
  </si>
  <si>
    <t xml:space="preserve">Every item closed before scale-up. Do not abandon the child (Ivan).</t>
  </si>
  <si>
    <t xml:space="preserve">CL: iOS bugs fixed and apps submitted (Renata)</t>
  </si>
  <si>
    <t xml:space="preserve">6 iOS bugs found; fix committed same day.</t>
  </si>
  <si>
    <t xml:space="preserve">Card: bureau decision one-pager (IDEMIA vs MM, like for like)</t>
  </si>
  <si>
    <t xml:space="preserve">Kurt + Elias</t>
  </si>
  <si>
    <t xml:space="preserve">Rule: apples to apples, go cheaper. Share transparently.</t>
  </si>
  <si>
    <t xml:space="preserve">Card: Amar meeting, raise 60-day clause carefully</t>
  </si>
  <si>
    <t xml:space="preserve">Ivan + Kurt</t>
  </si>
  <si>
    <t xml:space="preserve">Signed 15 Jun. Some of their integrations were late too; do not be harsh.</t>
  </si>
  <si>
    <t xml:space="preserve">Deals: cheapest-first sorting on listing</t>
  </si>
  <si>
    <t xml:space="preserve">Anton</t>
  </si>
  <si>
    <t xml:space="preserve">From Ivan: P9,999 shows first, popular P1,000 last today.</t>
  </si>
  <si>
    <t xml:space="preserve">Deals: Maxicare marketing plans switched on</t>
  </si>
  <si>
    <t xml:space="preserve">Internal comms + PR aimed at investors and future Deals partners.</t>
  </si>
  <si>
    <t xml:space="preserve">Retro scorecard run, past 3 months, all 5 PMs</t>
  </si>
  <si>
    <t xml:space="preserve">Kurt</t>
  </si>
  <si>
    <t xml:space="preserve">Do not wait for December (Ivan). Calibrate to a 1-5 score.</t>
  </si>
  <si>
    <t xml:space="preserve">Solar: kill-or-keep decision</t>
  </si>
  <si>
    <t xml:space="preserve">Per KPI tab D3.</t>
  </si>
  <si>
    <t xml:space="preserve">CL utilization target set with Ivan</t>
  </si>
  <si>
    <t xml:space="preserve">30 days post-launch.</t>
  </si>
  <si>
    <t xml:space="preserve">PBT-per-line model live, monthly</t>
  </si>
  <si>
    <t xml:space="preserve">Nhat</t>
  </si>
  <si>
    <t xml:space="preserve">Reconciling to actuals.</t>
  </si>
  <si>
    <t xml:space="preserve">Metric-tree dashboard (Tier 1-3)</t>
  </si>
  <si>
    <t xml:space="preserve">Jenny</t>
  </si>
  <si>
    <t xml:space="preserve">One source for this tab.</t>
  </si>
  <si>
    <t xml:space="preserve">JV: edit only this tab. Yellow = fill me (Impact, Added and Due before In Progress; Delivered when shipped; update Resyncs when work bounces back).</t>
  </si>
  <si>
    <t xml:space="preserve">Anton: edit only this tab. Yellow = fill me (Impact, Added and Due before In Progress; Delivered when shipped; update Resyncs when work bounces back).</t>
  </si>
  <si>
    <t xml:space="preserve">Manzil: edit only this tab. Yellow = fill me (Impact, Added and Due before In Progress; Delivered when shipped; update Resyncs when work bounces back).</t>
  </si>
  <si>
    <t xml:space="preserve">Elias: edit only this tab. Yellow = fill me (Impact, Added and Due before In Progress; Delivered when shipped; update Resyncs when work bounces back).</t>
  </si>
  <si>
    <t xml:space="preserve">Jastin: edit only this tab. Yellow = fill me (Impact, Added and Due before In Progress; Delivered when shipped; update Resyncs when work bounces back).</t>
  </si>
  <si>
    <t xml:space="preserve">KPI Key Drivers, per owner (delivery-first, per the Jul call with Ivan)</t>
  </si>
  <si>
    <t xml:space="preserve">Scored: delivery Speed and Quality against the seniority bar. Context: the line numbers every PM must know cold (management-owned, not punished on). Growth: initiative, assessed for development, not bonus.</t>
  </si>
  <si>
    <t xml:space="preserve">Context: lines and numbers to know cold</t>
  </si>
  <si>
    <t xml:space="preserve">Scored: Speed</t>
  </si>
  <si>
    <t xml:space="preserve">Scored: Quality</t>
  </si>
  <si>
    <t xml:space="preserve">Growth: Initiative</t>
  </si>
  <si>
    <t xml:space="preserve">Deals and Solar: monthly disbursement at positive NPM (staged ramp TBD), acceptance and conversion, reject-salvage plan. Think like a marketer: D2C, self-service, drive own inventory.</t>
  </si>
  <si>
    <t xml:space="preserve">Agreed steps delivered on time or faster (auto-scored on the tracker)</t>
  </si>
  <si>
    <t xml:space="preserve">Delivered at the level expected for the bar, thought through, minimal resyncs</t>
  </si>
  <si>
    <t xml:space="preserve">Connects the numbers to actions; brings prioritized initiatives (logged)</t>
  </si>
  <si>
    <t xml:space="preserve">Deals BD: managed accounts (ProTech, Maxicare, 3Cat), new merchants live and disbursing, ticket uplift (TBD). National coverage per partner, else regional deals.</t>
  </si>
  <si>
    <t xml:space="preserve">Motorcycles and SAP: Moto monthly disbursement (TBD, gated by Nhat), disbursement per active sales agent (TBD).</t>
  </si>
  <si>
    <t xml:space="preserve">Credit Line and Card: CL utilization and drawdown (set ~30 days post-launch), card unit economics (CAC target TBD). Senior bar: tasks arrive fully thought through.</t>
  </si>
  <si>
    <t xml:space="preserve">QRPh and Merchant Onboarding: QRPh run rate (TBD, star line), onboarding cycle time, zero config errors.</t>
  </si>
  <si>
    <t xml:space="preserve">Nhat Phan</t>
  </si>
  <si>
    <t xml:space="preserve">Unit economics and P&amp;L: PBT-per-line model live monthly, pricing and repricing coverage, every launch gated pre-launch.</t>
  </si>
  <si>
    <t xml:space="preserve">Jenny Ho</t>
  </si>
  <si>
    <t xml:space="preserve">Business Intelligence: metric-tree dashboard live and automated (Tier 1 to 3, one source), reporting turnaround.</t>
  </si>
  <si>
    <t xml:space="preserve">Billy Quiambao</t>
  </si>
  <si>
    <t xml:space="preserve">IT Support and PVT: release quality gate (PVT pass rate, defects caught pre-prod), support TAT within SLA.</t>
  </si>
  <si>
    <t xml:space="preserve">Targets and monthly actuals live on the KPI Targets H2 tab. Speed and Resyncs are captured per project on the tracker. Delivery scores and initiative log are kept by Kurt in the separate Delivery Scoreboard file.</t>
  </si>
</sst>
</file>

<file path=xl/styles.xml><?xml version="1.0" encoding="utf-8"?>
<styleSheet xmlns="http://schemas.openxmlformats.org/spreadsheetml/2006/main">
  <numFmts count="4">
    <numFmt numFmtId="164" formatCode="General"/>
    <numFmt numFmtId="165" formatCode="dd\ mmm"/>
    <numFmt numFmtId="166" formatCode="#,##0"/>
    <numFmt numFmtId="167" formatCode="0%"/>
  </numFmts>
  <fonts count="13">
    <font>
      <sz val="11"/>
      <color theme="1"/>
      <name val="Calibri"/>
      <family val="2"/>
      <charset val="1"/>
    </font>
    <font>
      <sz val="10"/>
      <name val="Arial"/>
      <family val="0"/>
    </font>
    <font>
      <sz val="10"/>
      <name val="Arial"/>
      <family val="0"/>
    </font>
    <font>
      <sz val="10"/>
      <name val="Arial"/>
      <family val="0"/>
    </font>
    <font>
      <b val="true"/>
      <sz val="13"/>
      <color rgb="FF203AA9"/>
      <name val="Arial"/>
      <family val="0"/>
      <charset val="1"/>
    </font>
    <font>
      <sz val="10"/>
      <color rgb="FF1A1A1A"/>
      <name val="Arial"/>
      <family val="0"/>
      <charset val="1"/>
    </font>
    <font>
      <b val="true"/>
      <sz val="10"/>
      <color rgb="FF203AA9"/>
      <name val="Arial"/>
      <family val="0"/>
      <charset val="1"/>
    </font>
    <font>
      <sz val="9"/>
      <color rgb="FF8A8A82"/>
      <name val="Arial"/>
      <family val="0"/>
      <charset val="1"/>
    </font>
    <font>
      <b val="true"/>
      <sz val="10"/>
      <color rgb="FFFFFFFF"/>
      <name val="Arial"/>
      <family val="0"/>
      <charset val="1"/>
    </font>
    <font>
      <b val="true"/>
      <sz val="10"/>
      <color rgb="FF1A1A1A"/>
      <name val="Arial"/>
      <family val="0"/>
      <charset val="1"/>
    </font>
    <font>
      <b val="true"/>
      <sz val="10"/>
      <color rgb="FFC0392B"/>
      <name val="Arial"/>
      <family val="0"/>
      <charset val="1"/>
    </font>
    <font>
      <b val="true"/>
      <sz val="10"/>
      <color rgb="FF8A8A82"/>
      <name val="Arial"/>
      <family val="0"/>
      <charset val="1"/>
    </font>
    <font>
      <b val="true"/>
      <sz val="10"/>
      <color rgb="FF1E8E5A"/>
      <name val="Arial"/>
      <family val="0"/>
      <charset val="1"/>
    </font>
  </fonts>
  <fills count="10">
    <fill>
      <patternFill patternType="none"/>
    </fill>
    <fill>
      <patternFill patternType="gray125"/>
    </fill>
    <fill>
      <patternFill patternType="solid">
        <fgColor rgb="FF203AA9"/>
        <bgColor rgb="FF003366"/>
      </patternFill>
    </fill>
    <fill>
      <patternFill patternType="solid">
        <fgColor rgb="FFECEEF8"/>
        <bgColor rgb="FFE7F4EE"/>
      </patternFill>
    </fill>
    <fill>
      <patternFill patternType="solid">
        <fgColor rgb="FFFFF3C9"/>
        <bgColor rgb="FFFBEAE7"/>
      </patternFill>
    </fill>
    <fill>
      <patternFill patternType="solid">
        <fgColor rgb="FFF6F4EF"/>
        <bgColor rgb="FFF2EEE7"/>
      </patternFill>
    </fill>
    <fill>
      <patternFill patternType="solid">
        <fgColor rgb="FFFBEAE7"/>
        <bgColor rgb="FFF2EEE7"/>
      </patternFill>
    </fill>
    <fill>
      <patternFill patternType="solid">
        <fgColor rgb="FFF2EEE7"/>
        <bgColor rgb="FFF6F4EF"/>
      </patternFill>
    </fill>
    <fill>
      <patternFill patternType="solid">
        <fgColor rgb="FFE7F4EE"/>
        <bgColor rgb="FFECEEF8"/>
      </patternFill>
    </fill>
    <fill>
      <patternFill patternType="solid">
        <fgColor rgb="FFECE8E1"/>
        <bgColor rgb="FFF2EEE7"/>
      </patternFill>
    </fill>
  </fills>
  <borders count="2">
    <border diagonalUp="false" diagonalDown="false">
      <left/>
      <right/>
      <top/>
      <bottom/>
      <diagonal/>
    </border>
    <border diagonalUp="false" diagonalDown="false">
      <left/>
      <right/>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false" applyAlignment="true" applyProtection="false">
      <alignment horizontal="general" vertical="center" textRotation="0" wrapText="false" indent="0" shrinkToFit="false"/>
      <protection locked="true" hidden="false"/>
    </xf>
    <xf numFmtId="164" fontId="9" fillId="0" borderId="1" xfId="0" applyFont="true" applyBorder="true" applyAlignment="true" applyProtection="false">
      <alignment horizontal="general" vertical="top" textRotation="0" wrapText="false" indent="0" shrinkToFit="false"/>
      <protection locked="true" hidden="false"/>
    </xf>
    <xf numFmtId="164" fontId="5" fillId="0" borderId="1" xfId="0" applyFont="true" applyBorder="true" applyAlignment="true" applyProtection="false">
      <alignment horizontal="general" vertical="top" textRotation="0" wrapText="false" indent="0" shrinkToFit="false"/>
      <protection locked="true" hidden="false"/>
    </xf>
    <xf numFmtId="164" fontId="6" fillId="3" borderId="1" xfId="0" applyFont="true" applyBorder="true" applyAlignment="true" applyProtection="false">
      <alignment horizontal="general" vertical="top" textRotation="0" wrapText="false" indent="0" shrinkToFit="false"/>
      <protection locked="true" hidden="false"/>
    </xf>
    <xf numFmtId="164" fontId="5" fillId="4" borderId="1" xfId="0" applyFont="true" applyBorder="true" applyAlignment="true" applyProtection="false">
      <alignment horizontal="general" vertical="top" textRotation="0" wrapText="false" indent="0" shrinkToFit="false"/>
      <protection locked="true" hidden="false"/>
    </xf>
    <xf numFmtId="165" fontId="5" fillId="4" borderId="1" xfId="0" applyFont="true" applyBorder="true" applyAlignment="true" applyProtection="false">
      <alignment horizontal="general" vertical="top" textRotation="0" wrapText="false" indent="0" shrinkToFit="false"/>
      <protection locked="true" hidden="false"/>
    </xf>
    <xf numFmtId="165" fontId="5" fillId="0" borderId="1" xfId="0" applyFont="true" applyBorder="true" applyAlignment="true" applyProtection="false">
      <alignment horizontal="general" vertical="top" textRotation="0" wrapText="false" indent="0" shrinkToFit="false"/>
      <protection locked="true" hidden="false"/>
    </xf>
    <xf numFmtId="164" fontId="9" fillId="5" borderId="1" xfId="0" applyFont="true" applyBorder="true" applyAlignment="true" applyProtection="false">
      <alignment horizontal="general" vertical="top" textRotation="0" wrapText="false" indent="0" shrinkToFit="false"/>
      <protection locked="true" hidden="false"/>
    </xf>
    <xf numFmtId="164" fontId="5" fillId="5" borderId="1" xfId="0" applyFont="true" applyBorder="true" applyAlignment="true" applyProtection="false">
      <alignment horizontal="general" vertical="top" textRotation="0" wrapText="false" indent="0" shrinkToFit="false"/>
      <protection locked="true" hidden="false"/>
    </xf>
    <xf numFmtId="164" fontId="10" fillId="6" borderId="1" xfId="0" applyFont="true" applyBorder="true" applyAlignment="true" applyProtection="false">
      <alignment horizontal="general" vertical="top" textRotation="0" wrapText="false" indent="0" shrinkToFit="false"/>
      <protection locked="true" hidden="false"/>
    </xf>
    <xf numFmtId="165" fontId="5" fillId="5" borderId="1" xfId="0" applyFont="true" applyBorder="true" applyAlignment="true" applyProtection="false">
      <alignment horizontal="general" vertical="top" textRotation="0" wrapText="false" indent="0" shrinkToFit="false"/>
      <protection locked="true" hidden="false"/>
    </xf>
    <xf numFmtId="164" fontId="11" fillId="7" borderId="1" xfId="0" applyFont="true" applyBorder="true" applyAlignment="true" applyProtection="false">
      <alignment horizontal="general" vertical="top" textRotation="0" wrapText="false" indent="0" shrinkToFit="false"/>
      <protection locked="true" hidden="false"/>
    </xf>
    <xf numFmtId="164" fontId="12" fillId="8" borderId="1" xfId="0" applyFont="true" applyBorder="true" applyAlignment="true" applyProtection="false">
      <alignment horizontal="general" vertical="top" textRotation="0" wrapText="false" indent="0" shrinkToFit="false"/>
      <protection locked="true" hidden="false"/>
    </xf>
    <xf numFmtId="164" fontId="11" fillId="9" borderId="1" xfId="0" applyFont="true" applyBorder="true" applyAlignment="true" applyProtection="false">
      <alignment horizontal="general" vertical="top"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6" fontId="0" fillId="4" borderId="1" xfId="0" applyFont="fals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7" fontId="9" fillId="0" borderId="1" xfId="0" applyFont="true" applyBorder="true" applyAlignment="false" applyProtection="false">
      <alignment horizontal="general" vertical="bottom" textRotation="0" wrapText="false" indent="0" shrinkToFit="false"/>
      <protection locked="true" hidden="false"/>
    </xf>
    <xf numFmtId="167" fontId="0" fillId="4" borderId="1" xfId="0" applyFont="fals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5" fontId="5" fillId="0" borderId="1" xfId="0" applyFont="true" applyBorder="true" applyAlignment="false" applyProtection="false">
      <alignment horizontal="general" vertical="bottom" textRotation="0" wrapText="false" indent="0" shrinkToFit="false"/>
      <protection locked="true" hidden="false"/>
    </xf>
    <xf numFmtId="165" fontId="0" fillId="4" borderId="1" xfId="0" applyFont="false" applyBorder="true" applyAlignment="false" applyProtection="false">
      <alignment horizontal="general" vertical="bottom" textRotation="0" wrapText="false" indent="0" shrinkToFit="false"/>
      <protection locked="true" hidden="false"/>
    </xf>
    <xf numFmtId="165" fontId="5" fillId="4"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F6F4EF"/>
      <rgbColor rgb="FF8A8A82"/>
      <rgbColor rgb="FF9999FF"/>
      <rgbColor rgb="FF993366"/>
      <rgbColor rgb="FFFFF3C9"/>
      <rgbColor rgb="FFE7F4EE"/>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CEEF8"/>
      <rgbColor rgb="FFECE8E1"/>
      <rgbColor rgb="FFF2EEE7"/>
      <rgbColor rgb="FF99CCFF"/>
      <rgbColor rgb="FFFF99CC"/>
      <rgbColor rgb="FFCC99FF"/>
      <rgbColor rgb="FFFBEAE7"/>
      <rgbColor rgb="FF3366FF"/>
      <rgbColor rgb="FF33CCCC"/>
      <rgbColor rgb="FF99CC00"/>
      <rgbColor rgb="FFFFCC00"/>
      <rgbColor rgb="FFFF9900"/>
      <rgbColor rgb="FFFF6600"/>
      <rgbColor rgb="FF666699"/>
      <rgbColor rgb="FF969696"/>
      <rgbColor rgb="FF003366"/>
      <rgbColor rgb="FF1E8E5A"/>
      <rgbColor rgb="FF003300"/>
      <rgbColor rgb="FF333300"/>
      <rgbColor rgb="FFC0392B"/>
      <rgbColor rgb="FF993366"/>
      <rgbColor rgb="FF203AA9"/>
      <rgbColor rgb="FF1A1A1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B4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5"/>
    <col collapsed="false" customWidth="true" hidden="false" outlineLevel="0" max="2" min="2" style="0" width="112"/>
  </cols>
  <sheetData>
    <row r="2" customFormat="false" ht="16.15" hidden="false" customHeight="false" outlineLevel="0" collapsed="false">
      <c r="B2" s="1" t="s">
        <v>0</v>
      </c>
    </row>
    <row r="3" customFormat="false" ht="15" hidden="false" customHeight="false" outlineLevel="0" collapsed="false">
      <c r="B3" s="2" t="s">
        <v>1</v>
      </c>
    </row>
    <row r="5" customFormat="false" ht="15" hidden="false" customHeight="false" outlineLevel="0" collapsed="false">
      <c r="B5" s="3" t="s">
        <v>2</v>
      </c>
    </row>
    <row r="6" customFormat="false" ht="15" hidden="false" customHeight="false" outlineLevel="0" collapsed="false">
      <c r="B6" s="2" t="s">
        <v>3</v>
      </c>
    </row>
    <row r="7" customFormat="false" ht="15" hidden="false" customHeight="false" outlineLevel="0" collapsed="false">
      <c r="B7" s="2" t="s">
        <v>4</v>
      </c>
    </row>
    <row r="8" customFormat="false" ht="15" hidden="false" customHeight="false" outlineLevel="0" collapsed="false">
      <c r="B8" s="2" t="s">
        <v>5</v>
      </c>
    </row>
    <row r="10" customFormat="false" ht="15" hidden="false" customHeight="false" outlineLevel="0" collapsed="false">
      <c r="B10" s="3" t="s">
        <v>6</v>
      </c>
    </row>
    <row r="11" customFormat="false" ht="15" hidden="false" customHeight="false" outlineLevel="0" collapsed="false">
      <c r="B11" s="2" t="s">
        <v>7</v>
      </c>
    </row>
    <row r="12" customFormat="false" ht="15" hidden="false" customHeight="false" outlineLevel="0" collapsed="false">
      <c r="B12" s="2" t="s">
        <v>8</v>
      </c>
    </row>
    <row r="13" customFormat="false" ht="15" hidden="false" customHeight="false" outlineLevel="0" collapsed="false">
      <c r="B13" s="2" t="s">
        <v>9</v>
      </c>
    </row>
    <row r="15" customFormat="false" ht="15" hidden="false" customHeight="false" outlineLevel="0" collapsed="false">
      <c r="B15" s="3" t="s">
        <v>10</v>
      </c>
    </row>
    <row r="16" customFormat="false" ht="15" hidden="false" customHeight="false" outlineLevel="0" collapsed="false">
      <c r="B16" s="2" t="s">
        <v>11</v>
      </c>
    </row>
    <row r="17" customFormat="false" ht="15" hidden="false" customHeight="false" outlineLevel="0" collapsed="false">
      <c r="B17" s="2" t="s">
        <v>12</v>
      </c>
    </row>
    <row r="18" customFormat="false" ht="15" hidden="false" customHeight="false" outlineLevel="0" collapsed="false">
      <c r="B18" s="2" t="s">
        <v>13</v>
      </c>
    </row>
    <row r="19" customFormat="false" ht="15" hidden="false" customHeight="false" outlineLevel="0" collapsed="false">
      <c r="B19" s="2" t="s">
        <v>14</v>
      </c>
    </row>
    <row r="20" customFormat="false" ht="15" hidden="false" customHeight="false" outlineLevel="0" collapsed="false">
      <c r="B20" s="2" t="s">
        <v>15</v>
      </c>
    </row>
    <row r="21" customFormat="false" ht="15" hidden="false" customHeight="false" outlineLevel="0" collapsed="false">
      <c r="B21" s="2" t="s">
        <v>16</v>
      </c>
    </row>
    <row r="23" customFormat="false" ht="15" hidden="false" customHeight="false" outlineLevel="0" collapsed="false">
      <c r="B23" s="3" t="s">
        <v>17</v>
      </c>
    </row>
    <row r="24" customFormat="false" ht="15" hidden="false" customHeight="false" outlineLevel="0" collapsed="false">
      <c r="B24" s="2" t="s">
        <v>18</v>
      </c>
    </row>
    <row r="25" customFormat="false" ht="15" hidden="false" customHeight="false" outlineLevel="0" collapsed="false">
      <c r="B25" s="2" t="s">
        <v>19</v>
      </c>
    </row>
    <row r="27" customFormat="false" ht="15" hidden="false" customHeight="false" outlineLevel="0" collapsed="false">
      <c r="B27" s="3" t="s">
        <v>20</v>
      </c>
    </row>
    <row r="28" customFormat="false" ht="15" hidden="false" customHeight="false" outlineLevel="0" collapsed="false">
      <c r="B28" s="2" t="s">
        <v>21</v>
      </c>
    </row>
    <row r="30" customFormat="false" ht="15" hidden="false" customHeight="false" outlineLevel="0" collapsed="false">
      <c r="B30" s="3" t="s">
        <v>22</v>
      </c>
    </row>
    <row r="31" customFormat="false" ht="15" hidden="false" customHeight="false" outlineLevel="0" collapsed="false">
      <c r="B31" s="2" t="s">
        <v>23</v>
      </c>
    </row>
    <row r="32" customFormat="false" ht="15" hidden="false" customHeight="false" outlineLevel="0" collapsed="false">
      <c r="B32" s="2" t="s">
        <v>24</v>
      </c>
    </row>
    <row r="33" customFormat="false" ht="15" hidden="false" customHeight="false" outlineLevel="0" collapsed="false">
      <c r="B33" s="2" t="s">
        <v>25</v>
      </c>
    </row>
    <row r="35" customFormat="false" ht="15" hidden="false" customHeight="false" outlineLevel="0" collapsed="false">
      <c r="B35" s="3" t="s">
        <v>26</v>
      </c>
    </row>
    <row r="36" customFormat="false" ht="15" hidden="false" customHeight="false" outlineLevel="0" collapsed="false">
      <c r="B36" s="2" t="s">
        <v>27</v>
      </c>
    </row>
    <row r="37" customFormat="false" ht="15" hidden="false" customHeight="false" outlineLevel="0" collapsed="false">
      <c r="B37" s="2" t="s">
        <v>28</v>
      </c>
    </row>
    <row r="38" customFormat="false" ht="15" hidden="false" customHeight="false" outlineLevel="0" collapsed="false">
      <c r="B38" s="2" t="s">
        <v>29</v>
      </c>
    </row>
    <row r="40" customFormat="false" ht="15" hidden="false" customHeight="false" outlineLevel="0" collapsed="false">
      <c r="B40" s="3" t="s">
        <v>30</v>
      </c>
    </row>
    <row r="41" customFormat="false" ht="15" hidden="false" customHeight="false" outlineLevel="0" collapsed="false">
      <c r="B41" s="2" t="s">
        <v>31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6"/>
    <col collapsed="false" customWidth="true" hidden="false" outlineLevel="0" max="2" min="2" style="0" width="30"/>
    <col collapsed="false" customWidth="true" hidden="false" outlineLevel="0" max="3" min="3" style="0" width="13"/>
    <col collapsed="false" customWidth="true" hidden="false" outlineLevel="0" max="4" min="4" style="0" width="11"/>
    <col collapsed="false" customWidth="true" hidden="false" outlineLevel="0" max="5" min="5" style="0" width="26"/>
    <col collapsed="false" customWidth="true" hidden="false" outlineLevel="0" max="6" min="6" style="0" width="34"/>
    <col collapsed="false" customWidth="true" hidden="false" outlineLevel="0" max="8" min="7" style="0" width="9"/>
    <col collapsed="false" customWidth="true" hidden="false" outlineLevel="0" max="10" min="9" style="0" width="9.5"/>
    <col collapsed="false" customWidth="true" hidden="false" outlineLevel="0" max="11" min="11" style="0" width="9"/>
    <col collapsed="false" customWidth="true" hidden="false" outlineLevel="0" max="12" min="12" style="0" width="50"/>
    <col collapsed="false" customWidth="true" hidden="false" outlineLevel="0" max="13" min="13" style="0" width="46"/>
  </cols>
  <sheetData>
    <row r="1" customFormat="false" ht="15" hidden="false" customHeight="false" outlineLevel="0" collapsed="false">
      <c r="A1" s="4" t="s">
        <v>32</v>
      </c>
    </row>
    <row r="3" customFormat="false" ht="21.75" hidden="false" customHeight="true" outlineLevel="0" collapsed="false">
      <c r="A3" s="5" t="s">
        <v>33</v>
      </c>
      <c r="B3" s="5" t="s">
        <v>34</v>
      </c>
      <c r="C3" s="5" t="s">
        <v>35</v>
      </c>
      <c r="D3" s="5" t="s">
        <v>36</v>
      </c>
      <c r="E3" s="5" t="s">
        <v>37</v>
      </c>
      <c r="F3" s="5" t="s">
        <v>38</v>
      </c>
      <c r="G3" s="5" t="s">
        <v>39</v>
      </c>
      <c r="H3" s="5" t="s">
        <v>40</v>
      </c>
      <c r="I3" s="5" t="s">
        <v>41</v>
      </c>
      <c r="J3" s="5" t="s">
        <v>42</v>
      </c>
      <c r="K3" s="5" t="s">
        <v>43</v>
      </c>
      <c r="L3" s="5" t="s">
        <v>44</v>
      </c>
      <c r="M3" s="5" t="s">
        <v>45</v>
      </c>
    </row>
    <row r="4" customFormat="false" ht="15" hidden="false" customHeight="false" outlineLevel="0" collapsed="false">
      <c r="A4" s="6" t="s">
        <v>46</v>
      </c>
      <c r="B4" s="7" t="s">
        <v>47</v>
      </c>
      <c r="C4" s="8" t="s">
        <v>48</v>
      </c>
      <c r="D4" s="7" t="s">
        <v>49</v>
      </c>
      <c r="E4" s="7" t="s">
        <v>50</v>
      </c>
      <c r="F4" s="9"/>
      <c r="G4" s="10"/>
      <c r="H4" s="10"/>
      <c r="I4" s="11"/>
      <c r="J4" s="7" t="str">
        <f aca="false">IF(I4="","",IF(H4="","-",IF(I4&lt;H4,"Faster",IF(I4=H4,"On time","Late"))))</f>
        <v/>
      </c>
      <c r="K4" s="7"/>
      <c r="L4" s="7" t="s">
        <v>51</v>
      </c>
      <c r="M4" s="7" t="s">
        <v>52</v>
      </c>
    </row>
    <row r="5" customFormat="false" ht="15" hidden="false" customHeight="false" outlineLevel="0" collapsed="false">
      <c r="A5" s="12" t="s">
        <v>53</v>
      </c>
      <c r="B5" s="13" t="s">
        <v>54</v>
      </c>
      <c r="C5" s="14" t="s">
        <v>55</v>
      </c>
      <c r="D5" s="13" t="s">
        <v>49</v>
      </c>
      <c r="E5" s="13" t="s">
        <v>56</v>
      </c>
      <c r="F5" s="9"/>
      <c r="G5" s="10"/>
      <c r="H5" s="10"/>
      <c r="I5" s="15"/>
      <c r="J5" s="13" t="str">
        <f aca="false">IF(I5="","",IF(H5="","-",IF(I5&lt;H5,"Faster",IF(I5=H5,"On time","Late"))))</f>
        <v/>
      </c>
      <c r="K5" s="13"/>
      <c r="L5" s="13" t="s">
        <v>57</v>
      </c>
      <c r="M5" s="13" t="s">
        <v>58</v>
      </c>
    </row>
    <row r="6" customFormat="false" ht="15" hidden="false" customHeight="false" outlineLevel="0" collapsed="false">
      <c r="A6" s="6" t="s">
        <v>59</v>
      </c>
      <c r="B6" s="7" t="s">
        <v>60</v>
      </c>
      <c r="C6" s="8" t="s">
        <v>48</v>
      </c>
      <c r="D6" s="7" t="s">
        <v>49</v>
      </c>
      <c r="E6" s="7" t="s">
        <v>61</v>
      </c>
      <c r="F6" s="7" t="s">
        <v>62</v>
      </c>
      <c r="G6" s="10"/>
      <c r="H6" s="10"/>
      <c r="I6" s="11"/>
      <c r="J6" s="7" t="str">
        <f aca="false">IF(I6="","",IF(H6="","-",IF(I6&lt;H6,"Faster",IF(I6=H6,"On time","Late"))))</f>
        <v/>
      </c>
      <c r="K6" s="7"/>
      <c r="L6" s="7" t="s">
        <v>63</v>
      </c>
      <c r="M6" s="7" t="s">
        <v>64</v>
      </c>
    </row>
    <row r="7" customFormat="false" ht="15" hidden="false" customHeight="false" outlineLevel="0" collapsed="false">
      <c r="A7" s="12" t="s">
        <v>46</v>
      </c>
      <c r="B7" s="13" t="s">
        <v>65</v>
      </c>
      <c r="C7" s="8" t="s">
        <v>48</v>
      </c>
      <c r="D7" s="13" t="s">
        <v>66</v>
      </c>
      <c r="E7" s="13" t="s">
        <v>67</v>
      </c>
      <c r="F7" s="13" t="s">
        <v>68</v>
      </c>
      <c r="G7" s="10"/>
      <c r="H7" s="10"/>
      <c r="I7" s="15"/>
      <c r="J7" s="13" t="str">
        <f aca="false">IF(I7="","",IF(H7="","-",IF(I7&lt;H7,"Faster",IF(I7=H7,"On time","Late"))))</f>
        <v/>
      </c>
      <c r="K7" s="13"/>
      <c r="L7" s="13" t="s">
        <v>69</v>
      </c>
      <c r="M7" s="13" t="s">
        <v>70</v>
      </c>
    </row>
    <row r="8" customFormat="false" ht="15" hidden="false" customHeight="false" outlineLevel="0" collapsed="false">
      <c r="A8" s="6" t="s">
        <v>53</v>
      </c>
      <c r="B8" s="7" t="s">
        <v>71</v>
      </c>
      <c r="C8" s="8" t="s">
        <v>48</v>
      </c>
      <c r="D8" s="7" t="s">
        <v>66</v>
      </c>
      <c r="E8" s="7" t="s">
        <v>72</v>
      </c>
      <c r="F8" s="7" t="s">
        <v>73</v>
      </c>
      <c r="G8" s="10"/>
      <c r="H8" s="11" t="n">
        <v>46223</v>
      </c>
      <c r="I8" s="11"/>
      <c r="J8" s="7" t="str">
        <f aca="false">IF(I8="","",IF(H8="","-",IF(I8&lt;H8,"Faster",IF(I8=H8,"On time","Late"))))</f>
        <v/>
      </c>
      <c r="K8" s="7"/>
      <c r="L8" s="7" t="s">
        <v>74</v>
      </c>
      <c r="M8" s="7" t="s">
        <v>75</v>
      </c>
    </row>
    <row r="9" customFormat="false" ht="15" hidden="false" customHeight="false" outlineLevel="0" collapsed="false">
      <c r="A9" s="12" t="s">
        <v>53</v>
      </c>
      <c r="B9" s="13" t="s">
        <v>76</v>
      </c>
      <c r="C9" s="8" t="s">
        <v>48</v>
      </c>
      <c r="D9" s="13" t="s">
        <v>66</v>
      </c>
      <c r="E9" s="13" t="s">
        <v>72</v>
      </c>
      <c r="F9" s="9"/>
      <c r="G9" s="10"/>
      <c r="H9" s="10"/>
      <c r="I9" s="15"/>
      <c r="J9" s="13" t="str">
        <f aca="false">IF(I9="","",IF(H9="","-",IF(I9&lt;H9,"Faster",IF(I9=H9,"On time","Late"))))</f>
        <v/>
      </c>
      <c r="K9" s="13"/>
      <c r="L9" s="13" t="s">
        <v>77</v>
      </c>
      <c r="M9" s="13" t="s">
        <v>78</v>
      </c>
    </row>
    <row r="10" customFormat="false" ht="15" hidden="false" customHeight="false" outlineLevel="0" collapsed="false">
      <c r="A10" s="6" t="s">
        <v>53</v>
      </c>
      <c r="B10" s="7" t="s">
        <v>79</v>
      </c>
      <c r="C10" s="8" t="s">
        <v>48</v>
      </c>
      <c r="D10" s="7" t="s">
        <v>66</v>
      </c>
      <c r="E10" s="7" t="s">
        <v>72</v>
      </c>
      <c r="F10" s="9"/>
      <c r="G10" s="10"/>
      <c r="H10" s="10"/>
      <c r="I10" s="11"/>
      <c r="J10" s="7" t="str">
        <f aca="false">IF(I10="","",IF(H10="","-",IF(I10&lt;H10,"Faster",IF(I10=H10,"On time","Late"))))</f>
        <v/>
      </c>
      <c r="K10" s="7"/>
      <c r="L10" s="7" t="s">
        <v>80</v>
      </c>
      <c r="M10" s="7" t="s">
        <v>81</v>
      </c>
    </row>
    <row r="11" customFormat="false" ht="15" hidden="false" customHeight="false" outlineLevel="0" collapsed="false">
      <c r="A11" s="12" t="s">
        <v>53</v>
      </c>
      <c r="B11" s="13" t="s">
        <v>82</v>
      </c>
      <c r="C11" s="8" t="s">
        <v>48</v>
      </c>
      <c r="D11" s="13" t="s">
        <v>66</v>
      </c>
      <c r="E11" s="13" t="s">
        <v>83</v>
      </c>
      <c r="F11" s="9"/>
      <c r="G11" s="10"/>
      <c r="H11" s="10"/>
      <c r="I11" s="15"/>
      <c r="J11" s="13" t="str">
        <f aca="false">IF(I11="","",IF(H11="","-",IF(I11&lt;H11,"Faster",IF(I11=H11,"On time","Late"))))</f>
        <v/>
      </c>
      <c r="K11" s="13"/>
      <c r="L11" s="13" t="s">
        <v>84</v>
      </c>
      <c r="M11" s="13"/>
    </row>
    <row r="12" customFormat="false" ht="15" hidden="false" customHeight="false" outlineLevel="0" collapsed="false">
      <c r="A12" s="6" t="s">
        <v>85</v>
      </c>
      <c r="B12" s="7" t="s">
        <v>86</v>
      </c>
      <c r="C12" s="8" t="s">
        <v>48</v>
      </c>
      <c r="D12" s="7" t="s">
        <v>66</v>
      </c>
      <c r="E12" s="7" t="s">
        <v>87</v>
      </c>
      <c r="F12" s="7" t="s">
        <v>88</v>
      </c>
      <c r="G12" s="10"/>
      <c r="H12" s="10"/>
      <c r="I12" s="11"/>
      <c r="J12" s="7" t="str">
        <f aca="false">IF(I12="","",IF(H12="","-",IF(I12&lt;H12,"Faster",IF(I12=H12,"On time","Late"))))</f>
        <v/>
      </c>
      <c r="K12" s="7"/>
      <c r="L12" s="7" t="s">
        <v>89</v>
      </c>
      <c r="M12" s="7" t="s">
        <v>90</v>
      </c>
    </row>
    <row r="13" customFormat="false" ht="15" hidden="false" customHeight="false" outlineLevel="0" collapsed="false">
      <c r="A13" s="12" t="s">
        <v>59</v>
      </c>
      <c r="B13" s="13" t="s">
        <v>91</v>
      </c>
      <c r="C13" s="8" t="s">
        <v>48</v>
      </c>
      <c r="D13" s="13" t="s">
        <v>66</v>
      </c>
      <c r="E13" s="13" t="s">
        <v>92</v>
      </c>
      <c r="F13" s="13" t="s">
        <v>93</v>
      </c>
      <c r="G13" s="10"/>
      <c r="H13" s="10"/>
      <c r="I13" s="15"/>
      <c r="J13" s="13" t="str">
        <f aca="false">IF(I13="","",IF(H13="","-",IF(I13&lt;H13,"Faster",IF(I13=H13,"On time","Late"))))</f>
        <v/>
      </c>
      <c r="K13" s="13"/>
      <c r="L13" s="13" t="s">
        <v>94</v>
      </c>
      <c r="M13" s="13" t="s">
        <v>95</v>
      </c>
    </row>
    <row r="14" customFormat="false" ht="15" hidden="false" customHeight="false" outlineLevel="0" collapsed="false">
      <c r="A14" s="6" t="s">
        <v>59</v>
      </c>
      <c r="B14" s="7" t="s">
        <v>96</v>
      </c>
      <c r="C14" s="14" t="s">
        <v>55</v>
      </c>
      <c r="D14" s="7" t="s">
        <v>66</v>
      </c>
      <c r="E14" s="7" t="s">
        <v>97</v>
      </c>
      <c r="F14" s="9"/>
      <c r="G14" s="10"/>
      <c r="H14" s="10"/>
      <c r="I14" s="11"/>
      <c r="J14" s="7" t="str">
        <f aca="false">IF(I14="","",IF(H14="","-",IF(I14&lt;H14,"Faster",IF(I14=H14,"On time","Late"))))</f>
        <v/>
      </c>
      <c r="K14" s="7"/>
      <c r="L14" s="7" t="s">
        <v>98</v>
      </c>
      <c r="M14" s="7" t="s">
        <v>99</v>
      </c>
    </row>
    <row r="15" customFormat="false" ht="15" hidden="false" customHeight="false" outlineLevel="0" collapsed="false">
      <c r="A15" s="12" t="s">
        <v>100</v>
      </c>
      <c r="B15" s="13" t="s">
        <v>101</v>
      </c>
      <c r="C15" s="8" t="s">
        <v>48</v>
      </c>
      <c r="D15" s="13" t="s">
        <v>66</v>
      </c>
      <c r="E15" s="13" t="s">
        <v>102</v>
      </c>
      <c r="F15" s="9"/>
      <c r="G15" s="10"/>
      <c r="H15" s="10"/>
      <c r="I15" s="15"/>
      <c r="J15" s="13" t="str">
        <f aca="false">IF(I15="","",IF(H15="","-",IF(I15&lt;H15,"Faster",IF(I15=H15,"On time","Late"))))</f>
        <v/>
      </c>
      <c r="K15" s="13"/>
      <c r="L15" s="13" t="s">
        <v>103</v>
      </c>
      <c r="M15" s="13" t="s">
        <v>104</v>
      </c>
    </row>
    <row r="16" customFormat="false" ht="15" hidden="false" customHeight="false" outlineLevel="0" collapsed="false">
      <c r="A16" s="6" t="s">
        <v>100</v>
      </c>
      <c r="B16" s="7" t="s">
        <v>105</v>
      </c>
      <c r="C16" s="8" t="s">
        <v>48</v>
      </c>
      <c r="D16" s="7" t="s">
        <v>66</v>
      </c>
      <c r="E16" s="7" t="s">
        <v>102</v>
      </c>
      <c r="F16" s="9"/>
      <c r="G16" s="10"/>
      <c r="H16" s="10"/>
      <c r="I16" s="11"/>
      <c r="J16" s="7" t="str">
        <f aca="false">IF(I16="","",IF(H16="","-",IF(I16&lt;H16,"Faster",IF(I16=H16,"On time","Late"))))</f>
        <v/>
      </c>
      <c r="K16" s="7"/>
      <c r="L16" s="7" t="s">
        <v>106</v>
      </c>
      <c r="M16" s="7" t="s">
        <v>107</v>
      </c>
    </row>
    <row r="17" customFormat="false" ht="15" hidden="false" customHeight="false" outlineLevel="0" collapsed="false">
      <c r="A17" s="12" t="s">
        <v>100</v>
      </c>
      <c r="B17" s="13" t="s">
        <v>108</v>
      </c>
      <c r="C17" s="8" t="s">
        <v>48</v>
      </c>
      <c r="D17" s="13" t="s">
        <v>66</v>
      </c>
      <c r="E17" s="13" t="s">
        <v>109</v>
      </c>
      <c r="F17" s="13" t="s">
        <v>110</v>
      </c>
      <c r="G17" s="10"/>
      <c r="H17" s="10"/>
      <c r="I17" s="15"/>
      <c r="J17" s="13" t="str">
        <f aca="false">IF(I17="","",IF(H17="","-",IF(I17&lt;H17,"Faster",IF(I17=H17,"On time","Late"))))</f>
        <v/>
      </c>
      <c r="K17" s="13"/>
      <c r="L17" s="13" t="s">
        <v>111</v>
      </c>
      <c r="M17" s="13" t="s">
        <v>112</v>
      </c>
    </row>
    <row r="18" customFormat="false" ht="15" hidden="false" customHeight="false" outlineLevel="0" collapsed="false">
      <c r="A18" s="6" t="s">
        <v>100</v>
      </c>
      <c r="B18" s="7" t="s">
        <v>113</v>
      </c>
      <c r="C18" s="8" t="s">
        <v>48</v>
      </c>
      <c r="D18" s="7" t="s">
        <v>66</v>
      </c>
      <c r="E18" s="7" t="s">
        <v>102</v>
      </c>
      <c r="F18" s="9"/>
      <c r="G18" s="10"/>
      <c r="H18" s="10"/>
      <c r="I18" s="11"/>
      <c r="J18" s="7" t="str">
        <f aca="false">IF(I18="","",IF(H18="","-",IF(I18&lt;H18,"Faster",IF(I18=H18,"On time","Late"))))</f>
        <v/>
      </c>
      <c r="K18" s="7"/>
      <c r="L18" s="7" t="s">
        <v>114</v>
      </c>
      <c r="M18" s="7" t="s">
        <v>115</v>
      </c>
    </row>
    <row r="19" customFormat="false" ht="15" hidden="false" customHeight="false" outlineLevel="0" collapsed="false">
      <c r="A19" s="12" t="s">
        <v>100</v>
      </c>
      <c r="B19" s="13" t="s">
        <v>116</v>
      </c>
      <c r="C19" s="8" t="s">
        <v>48</v>
      </c>
      <c r="D19" s="13" t="s">
        <v>66</v>
      </c>
      <c r="E19" s="13" t="s">
        <v>117</v>
      </c>
      <c r="F19" s="9"/>
      <c r="G19" s="10"/>
      <c r="H19" s="10"/>
      <c r="I19" s="15"/>
      <c r="J19" s="13" t="str">
        <f aca="false">IF(I19="","",IF(H19="","-",IF(I19&lt;H19,"Faster",IF(I19=H19,"On time","Late"))))</f>
        <v/>
      </c>
      <c r="K19" s="13"/>
      <c r="L19" s="13" t="s">
        <v>118</v>
      </c>
      <c r="M19" s="13" t="s">
        <v>119</v>
      </c>
    </row>
    <row r="20" customFormat="false" ht="15" hidden="false" customHeight="false" outlineLevel="0" collapsed="false">
      <c r="A20" s="6" t="s">
        <v>46</v>
      </c>
      <c r="B20" s="7" t="s">
        <v>120</v>
      </c>
      <c r="C20" s="8" t="s">
        <v>48</v>
      </c>
      <c r="D20" s="7" t="s">
        <v>121</v>
      </c>
      <c r="E20" s="7" t="s">
        <v>50</v>
      </c>
      <c r="F20" s="9"/>
      <c r="G20" s="10"/>
      <c r="H20" s="10"/>
      <c r="I20" s="11"/>
      <c r="J20" s="7" t="str">
        <f aca="false">IF(I20="","",IF(H20="","-",IF(I20&lt;H20,"Faster",IF(I20=H20,"On time","Late"))))</f>
        <v/>
      </c>
      <c r="K20" s="7"/>
      <c r="L20" s="7" t="s">
        <v>122</v>
      </c>
      <c r="M20" s="7" t="s">
        <v>123</v>
      </c>
    </row>
    <row r="21" customFormat="false" ht="15" hidden="false" customHeight="false" outlineLevel="0" collapsed="false">
      <c r="A21" s="12" t="s">
        <v>46</v>
      </c>
      <c r="B21" s="13" t="s">
        <v>124</v>
      </c>
      <c r="C21" s="8" t="s">
        <v>48</v>
      </c>
      <c r="D21" s="13" t="s">
        <v>121</v>
      </c>
      <c r="E21" s="13" t="s">
        <v>50</v>
      </c>
      <c r="F21" s="9"/>
      <c r="G21" s="10"/>
      <c r="H21" s="10"/>
      <c r="I21" s="15"/>
      <c r="J21" s="13" t="str">
        <f aca="false">IF(I21="","",IF(H21="","-",IF(I21&lt;H21,"Faster",IF(I21=H21,"On time","Late"))))</f>
        <v/>
      </c>
      <c r="K21" s="13"/>
      <c r="L21" s="13" t="s">
        <v>125</v>
      </c>
      <c r="M21" s="13" t="s">
        <v>126</v>
      </c>
    </row>
    <row r="22" customFormat="false" ht="15" hidden="false" customHeight="false" outlineLevel="0" collapsed="false">
      <c r="A22" s="6" t="s">
        <v>46</v>
      </c>
      <c r="B22" s="7" t="s">
        <v>127</v>
      </c>
      <c r="C22" s="8" t="s">
        <v>48</v>
      </c>
      <c r="D22" s="7" t="s">
        <v>121</v>
      </c>
      <c r="E22" s="7" t="s">
        <v>50</v>
      </c>
      <c r="F22" s="9"/>
      <c r="G22" s="10"/>
      <c r="H22" s="10"/>
      <c r="I22" s="11"/>
      <c r="J22" s="7" t="str">
        <f aca="false">IF(I22="","",IF(H22="","-",IF(I22&lt;H22,"Faster",IF(I22=H22,"On time","Late"))))</f>
        <v/>
      </c>
      <c r="K22" s="7"/>
      <c r="L22" s="7" t="s">
        <v>128</v>
      </c>
      <c r="M22" s="7" t="s">
        <v>129</v>
      </c>
    </row>
    <row r="23" customFormat="false" ht="15" hidden="false" customHeight="false" outlineLevel="0" collapsed="false">
      <c r="A23" s="12" t="s">
        <v>46</v>
      </c>
      <c r="B23" s="13" t="s">
        <v>130</v>
      </c>
      <c r="C23" s="8" t="s">
        <v>48</v>
      </c>
      <c r="D23" s="13" t="s">
        <v>121</v>
      </c>
      <c r="E23" s="13" t="s">
        <v>131</v>
      </c>
      <c r="F23" s="9"/>
      <c r="G23" s="10"/>
      <c r="H23" s="10"/>
      <c r="I23" s="15"/>
      <c r="J23" s="13" t="str">
        <f aca="false">IF(I23="","",IF(H23="","-",IF(I23&lt;H23,"Faster",IF(I23=H23,"On time","Late"))))</f>
        <v/>
      </c>
      <c r="K23" s="13"/>
      <c r="L23" s="13" t="s">
        <v>132</v>
      </c>
      <c r="M23" s="13" t="s">
        <v>133</v>
      </c>
    </row>
    <row r="24" customFormat="false" ht="15" hidden="false" customHeight="false" outlineLevel="0" collapsed="false">
      <c r="A24" s="6" t="s">
        <v>53</v>
      </c>
      <c r="B24" s="7" t="s">
        <v>134</v>
      </c>
      <c r="C24" s="8" t="s">
        <v>48</v>
      </c>
      <c r="D24" s="7" t="s">
        <v>121</v>
      </c>
      <c r="E24" s="7" t="s">
        <v>135</v>
      </c>
      <c r="F24" s="9"/>
      <c r="G24" s="10"/>
      <c r="H24" s="10"/>
      <c r="I24" s="11"/>
      <c r="J24" s="7" t="str">
        <f aca="false">IF(I24="","",IF(H24="","-",IF(I24&lt;H24,"Faster",IF(I24=H24,"On time","Late"))))</f>
        <v/>
      </c>
      <c r="K24" s="7"/>
      <c r="L24" s="7" t="s">
        <v>136</v>
      </c>
      <c r="M24" s="7"/>
    </row>
    <row r="25" customFormat="false" ht="15" hidden="false" customHeight="false" outlineLevel="0" collapsed="false">
      <c r="A25" s="12" t="s">
        <v>53</v>
      </c>
      <c r="B25" s="13" t="s">
        <v>137</v>
      </c>
      <c r="C25" s="8" t="s">
        <v>48</v>
      </c>
      <c r="D25" s="13" t="s">
        <v>121</v>
      </c>
      <c r="E25" s="13" t="s">
        <v>72</v>
      </c>
      <c r="F25" s="9"/>
      <c r="G25" s="10"/>
      <c r="H25" s="10"/>
      <c r="I25" s="15"/>
      <c r="J25" s="13" t="str">
        <f aca="false">IF(I25="","",IF(H25="","-",IF(I25&lt;H25,"Faster",IF(I25=H25,"On time","Late"))))</f>
        <v/>
      </c>
      <c r="K25" s="13"/>
      <c r="L25" s="13" t="s">
        <v>138</v>
      </c>
      <c r="M25" s="13" t="s">
        <v>139</v>
      </c>
    </row>
    <row r="26" customFormat="false" ht="15" hidden="false" customHeight="false" outlineLevel="0" collapsed="false">
      <c r="A26" s="6" t="s">
        <v>53</v>
      </c>
      <c r="B26" s="7" t="s">
        <v>140</v>
      </c>
      <c r="C26" s="8" t="s">
        <v>48</v>
      </c>
      <c r="D26" s="7" t="s">
        <v>121</v>
      </c>
      <c r="E26" s="7" t="s">
        <v>72</v>
      </c>
      <c r="F26" s="9"/>
      <c r="G26" s="10"/>
      <c r="H26" s="10"/>
      <c r="I26" s="11"/>
      <c r="J26" s="7" t="str">
        <f aca="false">IF(I26="","",IF(H26="","-",IF(I26&lt;H26,"Faster",IF(I26=H26,"On time","Late"))))</f>
        <v/>
      </c>
      <c r="K26" s="7"/>
      <c r="L26" s="7" t="s">
        <v>141</v>
      </c>
      <c r="M26" s="7" t="s">
        <v>142</v>
      </c>
    </row>
    <row r="27" customFormat="false" ht="15" hidden="false" customHeight="false" outlineLevel="0" collapsed="false">
      <c r="A27" s="12" t="s">
        <v>53</v>
      </c>
      <c r="B27" s="13" t="s">
        <v>143</v>
      </c>
      <c r="C27" s="8" t="s">
        <v>48</v>
      </c>
      <c r="D27" s="13" t="s">
        <v>121</v>
      </c>
      <c r="E27" s="13" t="s">
        <v>72</v>
      </c>
      <c r="F27" s="9"/>
      <c r="G27" s="10"/>
      <c r="H27" s="10"/>
      <c r="I27" s="15"/>
      <c r="J27" s="13" t="str">
        <f aca="false">IF(I27="","",IF(H27="","-",IF(I27&lt;H27,"Faster",IF(I27=H27,"On time","Late"))))</f>
        <v/>
      </c>
      <c r="K27" s="13"/>
      <c r="L27" s="13" t="s">
        <v>144</v>
      </c>
      <c r="M27" s="13" t="s">
        <v>145</v>
      </c>
    </row>
    <row r="28" customFormat="false" ht="15" hidden="false" customHeight="false" outlineLevel="0" collapsed="false">
      <c r="A28" s="6" t="s">
        <v>53</v>
      </c>
      <c r="B28" s="7" t="s">
        <v>146</v>
      </c>
      <c r="C28" s="16" t="s">
        <v>147</v>
      </c>
      <c r="D28" s="7" t="s">
        <v>121</v>
      </c>
      <c r="E28" s="7" t="s">
        <v>72</v>
      </c>
      <c r="F28" s="9"/>
      <c r="G28" s="10"/>
      <c r="H28" s="10"/>
      <c r="I28" s="11"/>
      <c r="J28" s="7" t="str">
        <f aca="false">IF(I28="","",IF(H28="","-",IF(I28&lt;H28,"Faster",IF(I28=H28,"On time","Late"))))</f>
        <v/>
      </c>
      <c r="K28" s="7"/>
      <c r="L28" s="7" t="s">
        <v>148</v>
      </c>
      <c r="M28" s="7" t="s">
        <v>149</v>
      </c>
    </row>
    <row r="29" customFormat="false" ht="15" hidden="false" customHeight="false" outlineLevel="0" collapsed="false">
      <c r="A29" s="12" t="s">
        <v>53</v>
      </c>
      <c r="B29" s="13" t="s">
        <v>150</v>
      </c>
      <c r="C29" s="16" t="s">
        <v>147</v>
      </c>
      <c r="D29" s="13" t="s">
        <v>121</v>
      </c>
      <c r="E29" s="13" t="s">
        <v>72</v>
      </c>
      <c r="F29" s="9"/>
      <c r="G29" s="10"/>
      <c r="H29" s="10"/>
      <c r="I29" s="15"/>
      <c r="J29" s="13" t="str">
        <f aca="false">IF(I29="","",IF(H29="","-",IF(I29&lt;H29,"Faster",IF(I29=H29,"On time","Late"))))</f>
        <v/>
      </c>
      <c r="K29" s="13"/>
      <c r="L29" s="13" t="s">
        <v>151</v>
      </c>
      <c r="M29" s="13" t="s">
        <v>152</v>
      </c>
    </row>
    <row r="30" customFormat="false" ht="15" hidden="false" customHeight="false" outlineLevel="0" collapsed="false">
      <c r="A30" s="6" t="s">
        <v>53</v>
      </c>
      <c r="B30" s="7" t="s">
        <v>153</v>
      </c>
      <c r="C30" s="16" t="s">
        <v>147</v>
      </c>
      <c r="D30" s="7" t="s">
        <v>121</v>
      </c>
      <c r="E30" s="7" t="s">
        <v>131</v>
      </c>
      <c r="F30" s="9"/>
      <c r="G30" s="10"/>
      <c r="H30" s="10"/>
      <c r="I30" s="11"/>
      <c r="J30" s="7" t="str">
        <f aca="false">IF(I30="","",IF(H30="","-",IF(I30&lt;H30,"Faster",IF(I30=H30,"On time","Late"))))</f>
        <v/>
      </c>
      <c r="K30" s="7"/>
      <c r="L30" s="7" t="s">
        <v>154</v>
      </c>
      <c r="M30" s="7" t="s">
        <v>155</v>
      </c>
    </row>
    <row r="31" customFormat="false" ht="15" hidden="false" customHeight="false" outlineLevel="0" collapsed="false">
      <c r="A31" s="12" t="s">
        <v>85</v>
      </c>
      <c r="B31" s="13" t="s">
        <v>156</v>
      </c>
      <c r="C31" s="8" t="s">
        <v>48</v>
      </c>
      <c r="D31" s="13" t="s">
        <v>121</v>
      </c>
      <c r="E31" s="13" t="s">
        <v>157</v>
      </c>
      <c r="F31" s="9"/>
      <c r="G31" s="10"/>
      <c r="H31" s="10"/>
      <c r="I31" s="15"/>
      <c r="J31" s="13" t="str">
        <f aca="false">IF(I31="","",IF(H31="","-",IF(I31&lt;H31,"Faster",IF(I31=H31,"On time","Late"))))</f>
        <v/>
      </c>
      <c r="K31" s="13"/>
      <c r="L31" s="13" t="s">
        <v>158</v>
      </c>
      <c r="M31" s="13"/>
    </row>
    <row r="32" customFormat="false" ht="15" hidden="false" customHeight="false" outlineLevel="0" collapsed="false">
      <c r="A32" s="6" t="s">
        <v>100</v>
      </c>
      <c r="B32" s="7" t="s">
        <v>159</v>
      </c>
      <c r="C32" s="16" t="s">
        <v>147</v>
      </c>
      <c r="D32" s="7" t="s">
        <v>121</v>
      </c>
      <c r="E32" s="7" t="s">
        <v>102</v>
      </c>
      <c r="F32" s="7" t="s">
        <v>160</v>
      </c>
      <c r="G32" s="10"/>
      <c r="H32" s="10"/>
      <c r="I32" s="11"/>
      <c r="J32" s="7" t="str">
        <f aca="false">IF(I32="","",IF(H32="","-",IF(I32&lt;H32,"Faster",IF(I32=H32,"On time","Late"))))</f>
        <v/>
      </c>
      <c r="K32" s="7"/>
      <c r="L32" s="7" t="s">
        <v>161</v>
      </c>
      <c r="M32" s="7" t="s">
        <v>162</v>
      </c>
    </row>
    <row r="33" customFormat="false" ht="15" hidden="false" customHeight="false" outlineLevel="0" collapsed="false">
      <c r="A33" s="12" t="s">
        <v>100</v>
      </c>
      <c r="B33" s="13" t="s">
        <v>163</v>
      </c>
      <c r="C33" s="16" t="s">
        <v>147</v>
      </c>
      <c r="D33" s="13" t="s">
        <v>121</v>
      </c>
      <c r="E33" s="13" t="s">
        <v>102</v>
      </c>
      <c r="F33" s="9"/>
      <c r="G33" s="10"/>
      <c r="H33" s="10"/>
      <c r="I33" s="15"/>
      <c r="J33" s="13" t="str">
        <f aca="false">IF(I33="","",IF(H33="","-",IF(I33&lt;H33,"Faster",IF(I33=H33,"On time","Late"))))</f>
        <v/>
      </c>
      <c r="K33" s="13"/>
      <c r="L33" s="13" t="s">
        <v>164</v>
      </c>
      <c r="M33" s="13" t="s">
        <v>165</v>
      </c>
    </row>
    <row r="34" customFormat="false" ht="15" hidden="false" customHeight="false" outlineLevel="0" collapsed="false">
      <c r="A34" s="6" t="s">
        <v>100</v>
      </c>
      <c r="B34" s="7" t="s">
        <v>166</v>
      </c>
      <c r="C34" s="16" t="s">
        <v>147</v>
      </c>
      <c r="D34" s="7" t="s">
        <v>121</v>
      </c>
      <c r="E34" s="7" t="s">
        <v>102</v>
      </c>
      <c r="F34" s="9"/>
      <c r="G34" s="10"/>
      <c r="H34" s="10"/>
      <c r="I34" s="11"/>
      <c r="J34" s="7" t="str">
        <f aca="false">IF(I34="","",IF(H34="","-",IF(I34&lt;H34,"Faster",IF(I34=H34,"On time","Late"))))</f>
        <v/>
      </c>
      <c r="K34" s="7"/>
      <c r="L34" s="7" t="s">
        <v>167</v>
      </c>
      <c r="M34" s="7" t="s">
        <v>168</v>
      </c>
    </row>
    <row r="35" customFormat="false" ht="15" hidden="false" customHeight="false" outlineLevel="0" collapsed="false">
      <c r="A35" s="12" t="s">
        <v>46</v>
      </c>
      <c r="B35" s="13" t="s">
        <v>169</v>
      </c>
      <c r="C35" s="8" t="s">
        <v>48</v>
      </c>
      <c r="D35" s="13" t="s">
        <v>170</v>
      </c>
      <c r="E35" s="13" t="s">
        <v>50</v>
      </c>
      <c r="F35" s="9"/>
      <c r="G35" s="10"/>
      <c r="H35" s="10"/>
      <c r="I35" s="15"/>
      <c r="J35" s="13" t="str">
        <f aca="false">IF(I35="","",IF(H35="","-",IF(I35&lt;H35,"Faster",IF(I35=H35,"On time","Late"))))</f>
        <v/>
      </c>
      <c r="K35" s="13"/>
      <c r="L35" s="13" t="s">
        <v>171</v>
      </c>
      <c r="M35" s="13"/>
    </row>
    <row r="36" customFormat="false" ht="15" hidden="false" customHeight="false" outlineLevel="0" collapsed="false">
      <c r="A36" s="6" t="s">
        <v>46</v>
      </c>
      <c r="B36" s="7" t="s">
        <v>172</v>
      </c>
      <c r="C36" s="17" t="s">
        <v>173</v>
      </c>
      <c r="D36" s="7" t="s">
        <v>49</v>
      </c>
      <c r="E36" s="7" t="s">
        <v>50</v>
      </c>
      <c r="F36" s="7"/>
      <c r="G36" s="10"/>
      <c r="H36" s="11"/>
      <c r="I36" s="11" t="n">
        <v>46206</v>
      </c>
      <c r="J36" s="7" t="str">
        <f aca="false">IF(I36="","",IF(H36="","-",IF(I36&lt;H36,"Faster",IF(I36=H36,"On time","Late"))))</f>
        <v>-</v>
      </c>
      <c r="K36" s="7"/>
      <c r="L36" s="7" t="s">
        <v>174</v>
      </c>
      <c r="M36" s="7" t="s">
        <v>175</v>
      </c>
    </row>
    <row r="37" customFormat="false" ht="15" hidden="false" customHeight="false" outlineLevel="0" collapsed="false">
      <c r="A37" s="12" t="s">
        <v>46</v>
      </c>
      <c r="B37" s="13" t="s">
        <v>176</v>
      </c>
      <c r="C37" s="17" t="s">
        <v>173</v>
      </c>
      <c r="D37" s="13" t="s">
        <v>49</v>
      </c>
      <c r="E37" s="13" t="s">
        <v>50</v>
      </c>
      <c r="F37" s="13"/>
      <c r="G37" s="10"/>
      <c r="H37" s="15"/>
      <c r="I37" s="10"/>
      <c r="J37" s="13" t="str">
        <f aca="false">IF(I37="","",IF(H37="","-",IF(I37&lt;H37,"Faster",IF(I37=H37,"On time","Late"))))</f>
        <v/>
      </c>
      <c r="K37" s="13"/>
      <c r="L37" s="13" t="s">
        <v>177</v>
      </c>
      <c r="M37" s="13"/>
    </row>
    <row r="38" customFormat="false" ht="15" hidden="false" customHeight="false" outlineLevel="0" collapsed="false">
      <c r="A38" s="6" t="s">
        <v>46</v>
      </c>
      <c r="B38" s="7" t="s">
        <v>178</v>
      </c>
      <c r="C38" s="17" t="s">
        <v>173</v>
      </c>
      <c r="D38" s="7" t="s">
        <v>49</v>
      </c>
      <c r="E38" s="7" t="s">
        <v>50</v>
      </c>
      <c r="F38" s="7"/>
      <c r="G38" s="10"/>
      <c r="H38" s="11"/>
      <c r="I38" s="11" t="n">
        <v>46219</v>
      </c>
      <c r="J38" s="7" t="str">
        <f aca="false">IF(I38="","",IF(H38="","-",IF(I38&lt;H38,"Faster",IF(I38=H38,"On time","Late"))))</f>
        <v>-</v>
      </c>
      <c r="K38" s="7"/>
      <c r="L38" s="7" t="s">
        <v>179</v>
      </c>
      <c r="M38" s="7"/>
    </row>
    <row r="39" customFormat="false" ht="15" hidden="false" customHeight="false" outlineLevel="0" collapsed="false">
      <c r="A39" s="12" t="s">
        <v>46</v>
      </c>
      <c r="B39" s="13" t="s">
        <v>180</v>
      </c>
      <c r="C39" s="17" t="s">
        <v>173</v>
      </c>
      <c r="D39" s="13" t="s">
        <v>66</v>
      </c>
      <c r="E39" s="13" t="s">
        <v>50</v>
      </c>
      <c r="F39" s="13"/>
      <c r="G39" s="10"/>
      <c r="H39" s="15"/>
      <c r="I39" s="10"/>
      <c r="J39" s="13" t="str">
        <f aca="false">IF(I39="","",IF(H39="","-",IF(I39&lt;H39,"Faster",IF(I39=H39,"On time","Late"))))</f>
        <v/>
      </c>
      <c r="K39" s="13"/>
      <c r="L39" s="13" t="s">
        <v>181</v>
      </c>
      <c r="M39" s="13" t="s">
        <v>182</v>
      </c>
    </row>
    <row r="40" customFormat="false" ht="15" hidden="false" customHeight="false" outlineLevel="0" collapsed="false">
      <c r="A40" s="6" t="s">
        <v>85</v>
      </c>
      <c r="B40" s="7" t="s">
        <v>183</v>
      </c>
      <c r="C40" s="17" t="s">
        <v>173</v>
      </c>
      <c r="D40" s="7" t="s">
        <v>66</v>
      </c>
      <c r="E40" s="7" t="s">
        <v>157</v>
      </c>
      <c r="F40" s="7"/>
      <c r="G40" s="10"/>
      <c r="H40" s="11"/>
      <c r="I40" s="11" t="n">
        <v>46213</v>
      </c>
      <c r="J40" s="7" t="str">
        <f aca="false">IF(I40="","",IF(H40="","-",IF(I40&lt;H40,"Faster",IF(I40=H40,"On time","Late"))))</f>
        <v>-</v>
      </c>
      <c r="K40" s="7"/>
      <c r="L40" s="7" t="s">
        <v>184</v>
      </c>
      <c r="M40" s="7"/>
    </row>
    <row r="41" customFormat="false" ht="15" hidden="false" customHeight="false" outlineLevel="0" collapsed="false">
      <c r="A41" s="12" t="s">
        <v>53</v>
      </c>
      <c r="B41" s="13" t="s">
        <v>185</v>
      </c>
      <c r="C41" s="18" t="s">
        <v>186</v>
      </c>
      <c r="D41" s="13" t="s">
        <v>170</v>
      </c>
      <c r="E41" s="13" t="s">
        <v>72</v>
      </c>
      <c r="F41" s="13"/>
      <c r="G41" s="15"/>
      <c r="H41" s="15"/>
      <c r="I41" s="15"/>
      <c r="J41" s="13" t="str">
        <f aca="false">IF(I41="","",IF(H41="","-",IF(I41&lt;H41,"Faster",IF(I41=H41,"On time","Late"))))</f>
        <v/>
      </c>
      <c r="K41" s="13"/>
      <c r="L41" s="13" t="s">
        <v>187</v>
      </c>
      <c r="M41" s="13" t="s">
        <v>188</v>
      </c>
    </row>
    <row r="42" customFormat="false" ht="15" hidden="false" customHeight="false" outlineLevel="0" collapsed="false">
      <c r="A42" s="6" t="s">
        <v>53</v>
      </c>
      <c r="B42" s="7" t="s">
        <v>189</v>
      </c>
      <c r="C42" s="18" t="s">
        <v>186</v>
      </c>
      <c r="D42" s="7" t="s">
        <v>170</v>
      </c>
      <c r="E42" s="7" t="s">
        <v>72</v>
      </c>
      <c r="F42" s="7"/>
      <c r="G42" s="11"/>
      <c r="H42" s="11"/>
      <c r="I42" s="11"/>
      <c r="J42" s="7" t="str">
        <f aca="false">IF(I42="","",IF(H42="","-",IF(I42&lt;H42,"Faster",IF(I42=H42,"On time","Late"))))</f>
        <v/>
      </c>
      <c r="K42" s="7"/>
      <c r="L42" s="7" t="s">
        <v>190</v>
      </c>
      <c r="M42" s="7" t="s">
        <v>191</v>
      </c>
    </row>
  </sheetData>
  <dataValidations count="2">
    <dataValidation allowBlank="true" errorStyle="stop" operator="between" showDropDown="false" showErrorMessage="false" showInputMessage="false" sqref="C4:C400" type="list">
      <formula1>"Not Started,In Progress,Blocked,Completed,Cancelled"</formula1>
      <formula2>0</formula2>
    </dataValidation>
    <dataValidation allowBlank="true" errorStyle="stop" operator="between" showDropDown="false" showErrorMessage="false" showInputMessage="false" sqref="D4:D400" type="list">
      <formula1>"Urgent,High,Normal,Low"</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6"/>
    <col collapsed="false" customWidth="true" hidden="false" outlineLevel="0" max="2" min="2" style="0" width="12"/>
    <col collapsed="false" customWidth="true" hidden="false" outlineLevel="0" max="3" min="3" style="0" width="16"/>
    <col collapsed="false" customWidth="true" hidden="false" outlineLevel="0" max="9" min="4" style="0" width="8"/>
    <col collapsed="false" customWidth="true" hidden="false" outlineLevel="0" max="10" min="10" style="0" width="10"/>
    <col collapsed="false" customWidth="true" hidden="false" outlineLevel="0" max="11" min="11" style="0" width="46"/>
  </cols>
  <sheetData>
    <row r="1" customFormat="false" ht="16.15" hidden="false" customHeight="false" outlineLevel="0" collapsed="false">
      <c r="A1" s="1" t="s">
        <v>192</v>
      </c>
    </row>
    <row r="2" customFormat="false" ht="15" hidden="false" customHeight="false" outlineLevel="0" collapsed="false">
      <c r="A2" s="4" t="s">
        <v>193</v>
      </c>
    </row>
    <row r="4" customFormat="false" ht="15" hidden="false" customHeight="false" outlineLevel="0" collapsed="false">
      <c r="A4" s="3" t="s">
        <v>194</v>
      </c>
    </row>
    <row r="5" customFormat="false" ht="21.75" hidden="false" customHeight="true" outlineLevel="0" collapsed="false">
      <c r="A5" s="5" t="s">
        <v>195</v>
      </c>
      <c r="B5" s="5" t="s">
        <v>196</v>
      </c>
      <c r="C5" s="5" t="s">
        <v>197</v>
      </c>
      <c r="D5" s="5" t="s">
        <v>198</v>
      </c>
      <c r="E5" s="5" t="s">
        <v>199</v>
      </c>
      <c r="F5" s="5" t="s">
        <v>200</v>
      </c>
      <c r="G5" s="5" t="s">
        <v>201</v>
      </c>
      <c r="H5" s="5" t="s">
        <v>202</v>
      </c>
      <c r="I5" s="5" t="s">
        <v>203</v>
      </c>
      <c r="J5" s="5" t="s">
        <v>204</v>
      </c>
      <c r="K5" s="5" t="s">
        <v>205</v>
      </c>
    </row>
    <row r="6" customFormat="false" ht="22.35" hidden="false" customHeight="false" outlineLevel="0" collapsed="false">
      <c r="A6" s="19" t="s">
        <v>206</v>
      </c>
      <c r="B6" s="20" t="s">
        <v>207</v>
      </c>
      <c r="C6" s="20" t="s">
        <v>208</v>
      </c>
      <c r="D6" s="21"/>
      <c r="E6" s="21"/>
      <c r="F6" s="21"/>
      <c r="G6" s="21"/>
      <c r="H6" s="21"/>
      <c r="I6" s="21"/>
      <c r="J6" s="22"/>
      <c r="K6" s="23" t="s">
        <v>209</v>
      </c>
    </row>
    <row r="7" customFormat="false" ht="15" hidden="false" customHeight="false" outlineLevel="0" collapsed="false">
      <c r="A7" s="24" t="s">
        <v>210</v>
      </c>
      <c r="B7" s="22"/>
      <c r="C7" s="22"/>
      <c r="D7" s="21"/>
      <c r="E7" s="21"/>
      <c r="F7" s="21"/>
      <c r="G7" s="21"/>
      <c r="H7" s="21"/>
      <c r="I7" s="21"/>
      <c r="J7" s="25" t="str">
        <f aca="false">IFERROR(IF(COUNT(D7:I7)=0,"-",SUM(D7:I7)/SUMPRODUCT((D7:I7&lt;&gt;"")*D6:I6)),"-")</f>
        <v>-</v>
      </c>
      <c r="K7" s="22"/>
    </row>
    <row r="8" customFormat="false" ht="22.35" hidden="false" customHeight="false" outlineLevel="0" collapsed="false">
      <c r="A8" s="19" t="s">
        <v>211</v>
      </c>
      <c r="B8" s="20" t="s">
        <v>212</v>
      </c>
      <c r="C8" s="20" t="s">
        <v>213</v>
      </c>
      <c r="D8" s="21"/>
      <c r="E8" s="21"/>
      <c r="F8" s="21"/>
      <c r="G8" s="21"/>
      <c r="H8" s="21"/>
      <c r="I8" s="21"/>
      <c r="J8" s="22"/>
      <c r="K8" s="23" t="s">
        <v>214</v>
      </c>
    </row>
    <row r="9" customFormat="false" ht="15" hidden="false" customHeight="false" outlineLevel="0" collapsed="false">
      <c r="A9" s="24" t="s">
        <v>210</v>
      </c>
      <c r="B9" s="22"/>
      <c r="C9" s="22"/>
      <c r="D9" s="21"/>
      <c r="E9" s="21"/>
      <c r="F9" s="21"/>
      <c r="G9" s="21"/>
      <c r="H9" s="21"/>
      <c r="I9" s="21"/>
      <c r="J9" s="25" t="str">
        <f aca="false">IFERROR(IF(COUNT(D9:I9)=0,"-",SUM(D9:I9)/SUMPRODUCT((D9:I9&lt;&gt;"")*D8:I8)),"-")</f>
        <v>-</v>
      </c>
      <c r="K9" s="22"/>
    </row>
    <row r="10" customFormat="false" ht="15" hidden="false" customHeight="false" outlineLevel="0" collapsed="false">
      <c r="A10" s="19" t="s">
        <v>215</v>
      </c>
      <c r="B10" s="20" t="s">
        <v>212</v>
      </c>
      <c r="C10" s="20" t="s">
        <v>216</v>
      </c>
      <c r="D10" s="21"/>
      <c r="E10" s="21"/>
      <c r="F10" s="21"/>
      <c r="G10" s="21"/>
      <c r="H10" s="21"/>
      <c r="I10" s="21"/>
      <c r="J10" s="22"/>
      <c r="K10" s="23" t="s">
        <v>217</v>
      </c>
    </row>
    <row r="11" customFormat="false" ht="15" hidden="false" customHeight="false" outlineLevel="0" collapsed="false">
      <c r="A11" s="24" t="s">
        <v>210</v>
      </c>
      <c r="B11" s="22"/>
      <c r="C11" s="22"/>
      <c r="D11" s="21"/>
      <c r="E11" s="21"/>
      <c r="F11" s="21"/>
      <c r="G11" s="21"/>
      <c r="H11" s="21"/>
      <c r="I11" s="21"/>
      <c r="J11" s="25" t="str">
        <f aca="false">IFERROR(IF(COUNT(D11:I11)=0,"-",SUM(D11:I11)/SUMPRODUCT((D11:I11&lt;&gt;"")*D10:I10)),"-")</f>
        <v>-</v>
      </c>
      <c r="K11" s="22"/>
    </row>
    <row r="12" customFormat="false" ht="22.35" hidden="false" customHeight="false" outlineLevel="0" collapsed="false">
      <c r="A12" s="19" t="s">
        <v>218</v>
      </c>
      <c r="B12" s="20" t="s">
        <v>212</v>
      </c>
      <c r="C12" s="20" t="s">
        <v>219</v>
      </c>
      <c r="D12" s="21"/>
      <c r="E12" s="21"/>
      <c r="F12" s="21"/>
      <c r="G12" s="21"/>
      <c r="H12" s="21"/>
      <c r="I12" s="21"/>
      <c r="J12" s="22"/>
      <c r="K12" s="23" t="s">
        <v>220</v>
      </c>
    </row>
    <row r="13" customFormat="false" ht="15" hidden="false" customHeight="false" outlineLevel="0" collapsed="false">
      <c r="A13" s="24" t="s">
        <v>210</v>
      </c>
      <c r="B13" s="22"/>
      <c r="C13" s="22"/>
      <c r="D13" s="21"/>
      <c r="E13" s="21"/>
      <c r="F13" s="21"/>
      <c r="G13" s="21"/>
      <c r="H13" s="21"/>
      <c r="I13" s="21"/>
      <c r="J13" s="25" t="str">
        <f aca="false">IFERROR(IF(COUNT(D13:I13)=0,"-",SUM(D13:I13)/SUMPRODUCT((D13:I13&lt;&gt;"")*D12:I12)),"-")</f>
        <v>-</v>
      </c>
      <c r="K13" s="22"/>
    </row>
    <row r="15" customFormat="false" ht="15" hidden="false" customHeight="false" outlineLevel="0" collapsed="false">
      <c r="A15" s="3" t="s">
        <v>221</v>
      </c>
    </row>
    <row r="16" customFormat="false" ht="21.75" hidden="false" customHeight="true" outlineLevel="0" collapsed="false">
      <c r="A16" s="5" t="s">
        <v>195</v>
      </c>
      <c r="B16" s="5" t="s">
        <v>196</v>
      </c>
      <c r="C16" s="5" t="s">
        <v>197</v>
      </c>
      <c r="D16" s="5" t="s">
        <v>198</v>
      </c>
      <c r="E16" s="5" t="s">
        <v>199</v>
      </c>
      <c r="F16" s="5" t="s">
        <v>200</v>
      </c>
      <c r="G16" s="5" t="s">
        <v>201</v>
      </c>
      <c r="H16" s="5" t="s">
        <v>202</v>
      </c>
      <c r="I16" s="5" t="s">
        <v>203</v>
      </c>
      <c r="J16" s="5" t="s">
        <v>204</v>
      </c>
      <c r="K16" s="5" t="s">
        <v>205</v>
      </c>
    </row>
    <row r="17" customFormat="false" ht="15" hidden="false" customHeight="false" outlineLevel="0" collapsed="false">
      <c r="A17" s="19" t="s">
        <v>222</v>
      </c>
      <c r="B17" s="20" t="s">
        <v>223</v>
      </c>
      <c r="C17" s="20" t="s">
        <v>224</v>
      </c>
      <c r="D17" s="26"/>
      <c r="E17" s="26"/>
      <c r="F17" s="26"/>
      <c r="G17" s="26"/>
      <c r="H17" s="26"/>
      <c r="I17" s="26"/>
      <c r="J17" s="22"/>
      <c r="K17" s="23" t="s">
        <v>225</v>
      </c>
    </row>
    <row r="18" customFormat="false" ht="15" hidden="false" customHeight="false" outlineLevel="0" collapsed="false">
      <c r="A18" s="24" t="s">
        <v>210</v>
      </c>
      <c r="B18" s="22"/>
      <c r="C18" s="22"/>
      <c r="D18" s="26"/>
      <c r="E18" s="26"/>
      <c r="F18" s="26"/>
      <c r="G18" s="26"/>
      <c r="H18" s="26"/>
      <c r="I18" s="26"/>
      <c r="J18" s="25" t="str">
        <f aca="false">IFERROR(IF(COUNT(D18:I18)=0,"-",SUM(D18:I18)/SUMPRODUCT((D18:I18&lt;&gt;"")*D17:I17)),"-")</f>
        <v>-</v>
      </c>
      <c r="K18" s="22"/>
    </row>
    <row r="20" customFormat="false" ht="15" hidden="false" customHeight="false" outlineLevel="0" collapsed="false">
      <c r="A20" s="3" t="s">
        <v>226</v>
      </c>
    </row>
    <row r="21" customFormat="false" ht="21.75" hidden="false" customHeight="true" outlineLevel="0" collapsed="false">
      <c r="A21" s="5" t="s">
        <v>195</v>
      </c>
      <c r="B21" s="5" t="s">
        <v>196</v>
      </c>
      <c r="C21" s="5" t="s">
        <v>197</v>
      </c>
      <c r="D21" s="5" t="s">
        <v>198</v>
      </c>
      <c r="E21" s="5" t="s">
        <v>199</v>
      </c>
      <c r="F21" s="5" t="s">
        <v>200</v>
      </c>
      <c r="G21" s="5" t="s">
        <v>201</v>
      </c>
      <c r="H21" s="5" t="s">
        <v>202</v>
      </c>
      <c r="I21" s="5" t="s">
        <v>203</v>
      </c>
      <c r="J21" s="5" t="s">
        <v>204</v>
      </c>
      <c r="K21" s="5" t="s">
        <v>205</v>
      </c>
    </row>
    <row r="22" customFormat="false" ht="15" hidden="false" customHeight="false" outlineLevel="0" collapsed="false">
      <c r="A22" s="19" t="s">
        <v>227</v>
      </c>
      <c r="B22" s="20" t="s">
        <v>207</v>
      </c>
      <c r="C22" s="20" t="s">
        <v>228</v>
      </c>
      <c r="D22" s="21"/>
      <c r="E22" s="21"/>
      <c r="F22" s="21"/>
      <c r="G22" s="21"/>
      <c r="H22" s="21"/>
      <c r="I22" s="21"/>
      <c r="J22" s="22"/>
      <c r="K22" s="23" t="s">
        <v>229</v>
      </c>
    </row>
    <row r="23" customFormat="false" ht="15" hidden="false" customHeight="false" outlineLevel="0" collapsed="false">
      <c r="A23" s="24" t="s">
        <v>210</v>
      </c>
      <c r="B23" s="22"/>
      <c r="C23" s="22"/>
      <c r="D23" s="21"/>
      <c r="E23" s="21"/>
      <c r="F23" s="21"/>
      <c r="G23" s="21"/>
      <c r="H23" s="21"/>
      <c r="I23" s="21"/>
      <c r="J23" s="25" t="str">
        <f aca="false">IFERROR(IF(COUNT(D23:I23)=0,"-",SUM(D23:I23)/SUMPRODUCT((D23:I23&lt;&gt;"")*D22:I22)),"-")</f>
        <v>-</v>
      </c>
      <c r="K23" s="22"/>
    </row>
    <row r="24" customFormat="false" ht="15" hidden="false" customHeight="false" outlineLevel="0" collapsed="false">
      <c r="A24" s="19" t="s">
        <v>230</v>
      </c>
      <c r="B24" s="20" t="s">
        <v>231</v>
      </c>
      <c r="C24" s="20" t="s">
        <v>228</v>
      </c>
      <c r="D24" s="21"/>
      <c r="E24" s="21"/>
      <c r="F24" s="21"/>
      <c r="G24" s="21"/>
      <c r="H24" s="21"/>
      <c r="I24" s="21"/>
      <c r="J24" s="22"/>
      <c r="K24" s="23" t="s">
        <v>229</v>
      </c>
    </row>
    <row r="25" customFormat="false" ht="15" hidden="false" customHeight="false" outlineLevel="0" collapsed="false">
      <c r="A25" s="24" t="s">
        <v>210</v>
      </c>
      <c r="B25" s="22"/>
      <c r="C25" s="22"/>
      <c r="D25" s="21"/>
      <c r="E25" s="21"/>
      <c r="F25" s="21"/>
      <c r="G25" s="21"/>
      <c r="H25" s="21"/>
      <c r="I25" s="21"/>
      <c r="J25" s="25" t="str">
        <f aca="false">IFERROR(IF(COUNT(D25:I25)=0,"-",SUM(D25:I25)/SUMPRODUCT((D25:I25&lt;&gt;"")*D24:I24)),"-")</f>
        <v>-</v>
      </c>
      <c r="K25" s="22"/>
    </row>
    <row r="26" customFormat="false" ht="15" hidden="false" customHeight="false" outlineLevel="0" collapsed="false">
      <c r="A26" s="19" t="s">
        <v>232</v>
      </c>
      <c r="B26" s="20" t="s">
        <v>212</v>
      </c>
      <c r="C26" s="20" t="s">
        <v>228</v>
      </c>
      <c r="D26" s="21"/>
      <c r="E26" s="21"/>
      <c r="F26" s="21"/>
      <c r="G26" s="21"/>
      <c r="H26" s="21"/>
      <c r="I26" s="21"/>
      <c r="J26" s="22"/>
      <c r="K26" s="23" t="s">
        <v>233</v>
      </c>
    </row>
    <row r="27" customFormat="false" ht="15" hidden="false" customHeight="false" outlineLevel="0" collapsed="false">
      <c r="A27" s="24" t="s">
        <v>210</v>
      </c>
      <c r="B27" s="22"/>
      <c r="C27" s="22"/>
      <c r="D27" s="21"/>
      <c r="E27" s="21"/>
      <c r="F27" s="21"/>
      <c r="G27" s="21"/>
      <c r="H27" s="21"/>
      <c r="I27" s="21"/>
      <c r="J27" s="25" t="str">
        <f aca="false">IFERROR(IF(COUNT(D27:I27)=0,"-",SUM(D27:I27)/SUMPRODUCT((D27:I27&lt;&gt;"")*D26:I26)),"-")</f>
        <v>-</v>
      </c>
      <c r="K27" s="22"/>
    </row>
    <row r="28" customFormat="false" ht="15" hidden="false" customHeight="false" outlineLevel="0" collapsed="false">
      <c r="A28" s="19" t="s">
        <v>234</v>
      </c>
      <c r="B28" s="20" t="s">
        <v>223</v>
      </c>
      <c r="C28" s="20" t="s">
        <v>228</v>
      </c>
      <c r="D28" s="21"/>
      <c r="E28" s="21"/>
      <c r="F28" s="21"/>
      <c r="G28" s="21"/>
      <c r="H28" s="21"/>
      <c r="I28" s="21"/>
      <c r="J28" s="22"/>
      <c r="K28" s="23" t="s">
        <v>235</v>
      </c>
    </row>
    <row r="29" customFormat="false" ht="15" hidden="false" customHeight="false" outlineLevel="0" collapsed="false">
      <c r="A29" s="24" t="s">
        <v>210</v>
      </c>
      <c r="B29" s="22"/>
      <c r="C29" s="22"/>
      <c r="D29" s="21"/>
      <c r="E29" s="21"/>
      <c r="F29" s="21"/>
      <c r="G29" s="21"/>
      <c r="H29" s="21"/>
      <c r="I29" s="21"/>
      <c r="J29" s="25" t="str">
        <f aca="false">IFERROR(IF(COUNT(D29:I29)=0,"-",SUM(D29:I29)/SUMPRODUCT((D29:I29&lt;&gt;"")*D28:I28)),"-")</f>
        <v>-</v>
      </c>
      <c r="K29" s="22"/>
    </row>
    <row r="30" customFormat="false" ht="15" hidden="false" customHeight="false" outlineLevel="0" collapsed="false">
      <c r="A30" s="19" t="s">
        <v>236</v>
      </c>
      <c r="B30" s="20" t="s">
        <v>212</v>
      </c>
      <c r="C30" s="20" t="s">
        <v>228</v>
      </c>
      <c r="D30" s="21"/>
      <c r="E30" s="21"/>
      <c r="F30" s="21"/>
      <c r="G30" s="21"/>
      <c r="H30" s="21"/>
      <c r="I30" s="21"/>
      <c r="J30" s="22"/>
      <c r="K30" s="23" t="s">
        <v>237</v>
      </c>
    </row>
    <row r="31" customFormat="false" ht="15" hidden="false" customHeight="false" outlineLevel="0" collapsed="false">
      <c r="A31" s="24" t="s">
        <v>210</v>
      </c>
      <c r="B31" s="22"/>
      <c r="C31" s="22"/>
      <c r="D31" s="21"/>
      <c r="E31" s="21"/>
      <c r="F31" s="21"/>
      <c r="G31" s="21"/>
      <c r="H31" s="21"/>
      <c r="I31" s="21"/>
      <c r="J31" s="25" t="str">
        <f aca="false">IFERROR(IF(COUNT(D31:I31)=0,"-",SUM(D31:I31)/SUMPRODUCT((D31:I31&lt;&gt;"")*D30:I30)),"-")</f>
        <v>-</v>
      </c>
      <c r="K31" s="22"/>
    </row>
    <row r="32" customFormat="false" ht="15" hidden="false" customHeight="false" outlineLevel="0" collapsed="false">
      <c r="A32" s="19" t="s">
        <v>238</v>
      </c>
      <c r="B32" s="20" t="s">
        <v>239</v>
      </c>
      <c r="C32" s="20" t="s">
        <v>228</v>
      </c>
      <c r="D32" s="21"/>
      <c r="E32" s="21"/>
      <c r="F32" s="21"/>
      <c r="G32" s="21"/>
      <c r="H32" s="21"/>
      <c r="I32" s="21"/>
      <c r="J32" s="22"/>
      <c r="K32" s="23" t="s">
        <v>240</v>
      </c>
    </row>
    <row r="33" customFormat="false" ht="15" hidden="false" customHeight="false" outlineLevel="0" collapsed="false">
      <c r="A33" s="24" t="s">
        <v>210</v>
      </c>
      <c r="B33" s="22"/>
      <c r="C33" s="22"/>
      <c r="D33" s="21"/>
      <c r="E33" s="21"/>
      <c r="F33" s="21"/>
      <c r="G33" s="21"/>
      <c r="H33" s="21"/>
      <c r="I33" s="21"/>
      <c r="J33" s="25" t="str">
        <f aca="false">IFERROR(IF(COUNT(D33:I33)=0,"-",SUM(D33:I33)/SUMPRODUCT((D33:I33&lt;&gt;"")*D32:I32)),"-")</f>
        <v>-</v>
      </c>
      <c r="K33" s="22"/>
    </row>
    <row r="35" customFormat="false" ht="15" hidden="false" customHeight="false" outlineLevel="0" collapsed="false">
      <c r="A35" s="3" t="s">
        <v>241</v>
      </c>
    </row>
    <row r="36" customFormat="false" ht="21.75" hidden="false" customHeight="true" outlineLevel="0" collapsed="false">
      <c r="A36" s="5" t="s">
        <v>242</v>
      </c>
      <c r="B36" s="5" t="s">
        <v>33</v>
      </c>
      <c r="C36" s="5" t="s">
        <v>40</v>
      </c>
      <c r="D36" s="5" t="s">
        <v>243</v>
      </c>
      <c r="E36" s="5" t="s">
        <v>244</v>
      </c>
      <c r="F36" s="5"/>
      <c r="G36" s="5"/>
      <c r="H36" s="5"/>
      <c r="I36" s="5"/>
      <c r="J36" s="5"/>
      <c r="K36" s="5"/>
    </row>
    <row r="37" customFormat="false" ht="23.85" hidden="false" customHeight="false" outlineLevel="0" collapsed="false">
      <c r="A37" s="27" t="s">
        <v>245</v>
      </c>
      <c r="B37" s="20" t="s">
        <v>246</v>
      </c>
      <c r="C37" s="28" t="n">
        <v>46225</v>
      </c>
      <c r="D37" s="29"/>
      <c r="E37" s="24" t="s">
        <v>247</v>
      </c>
    </row>
    <row r="38" customFormat="false" ht="23.85" hidden="false" customHeight="false" outlineLevel="0" collapsed="false">
      <c r="A38" s="27" t="s">
        <v>248</v>
      </c>
      <c r="B38" s="20" t="s">
        <v>224</v>
      </c>
      <c r="C38" s="28" t="n">
        <v>46224</v>
      </c>
      <c r="D38" s="29"/>
      <c r="E38" s="24" t="s">
        <v>249</v>
      </c>
    </row>
    <row r="39" customFormat="false" ht="23.85" hidden="false" customHeight="false" outlineLevel="0" collapsed="false">
      <c r="A39" s="27" t="s">
        <v>250</v>
      </c>
      <c r="B39" s="20" t="s">
        <v>251</v>
      </c>
      <c r="C39" s="28" t="n">
        <v>46227</v>
      </c>
      <c r="D39" s="29"/>
      <c r="E39" s="24" t="s">
        <v>252</v>
      </c>
    </row>
    <row r="40" customFormat="false" ht="23.85" hidden="false" customHeight="false" outlineLevel="0" collapsed="false">
      <c r="A40" s="27" t="s">
        <v>253</v>
      </c>
      <c r="B40" s="20" t="s">
        <v>254</v>
      </c>
      <c r="C40" s="28" t="n">
        <v>46227</v>
      </c>
      <c r="D40" s="29"/>
      <c r="E40" s="24" t="s">
        <v>255</v>
      </c>
    </row>
    <row r="41" customFormat="false" ht="23.85" hidden="false" customHeight="false" outlineLevel="0" collapsed="false">
      <c r="A41" s="27" t="s">
        <v>256</v>
      </c>
      <c r="B41" s="20" t="s">
        <v>257</v>
      </c>
      <c r="C41" s="28" t="n">
        <v>46227</v>
      </c>
      <c r="D41" s="29"/>
      <c r="E41" s="24" t="s">
        <v>258</v>
      </c>
    </row>
    <row r="42" customFormat="false" ht="23.85" hidden="false" customHeight="false" outlineLevel="0" collapsed="false">
      <c r="A42" s="27" t="s">
        <v>259</v>
      </c>
      <c r="B42" s="20" t="s">
        <v>213</v>
      </c>
      <c r="C42" s="28" t="n">
        <v>46227</v>
      </c>
      <c r="D42" s="29"/>
      <c r="E42" s="24" t="s">
        <v>260</v>
      </c>
    </row>
    <row r="43" customFormat="false" ht="23.85" hidden="false" customHeight="false" outlineLevel="0" collapsed="false">
      <c r="A43" s="27" t="s">
        <v>261</v>
      </c>
      <c r="B43" s="20" t="s">
        <v>262</v>
      </c>
      <c r="C43" s="28" t="n">
        <v>46227</v>
      </c>
      <c r="D43" s="29"/>
      <c r="E43" s="24" t="s">
        <v>263</v>
      </c>
    </row>
    <row r="44" customFormat="false" ht="15" hidden="false" customHeight="false" outlineLevel="0" collapsed="false">
      <c r="A44" s="27" t="s">
        <v>264</v>
      </c>
      <c r="B44" s="20" t="s">
        <v>257</v>
      </c>
      <c r="C44" s="30"/>
      <c r="D44" s="29"/>
      <c r="E44" s="24" t="s">
        <v>265</v>
      </c>
    </row>
    <row r="45" customFormat="false" ht="15" hidden="false" customHeight="false" outlineLevel="0" collapsed="false">
      <c r="A45" s="27" t="s">
        <v>266</v>
      </c>
      <c r="B45" s="20" t="s">
        <v>246</v>
      </c>
      <c r="C45" s="28" t="n">
        <v>46249</v>
      </c>
      <c r="D45" s="29"/>
      <c r="E45" s="24" t="s">
        <v>267</v>
      </c>
    </row>
    <row r="46" customFormat="false" ht="15" hidden="false" customHeight="false" outlineLevel="0" collapsed="false">
      <c r="A46" s="27" t="s">
        <v>268</v>
      </c>
      <c r="B46" s="20" t="s">
        <v>269</v>
      </c>
      <c r="C46" s="30"/>
      <c r="D46" s="29"/>
      <c r="E46" s="24" t="s">
        <v>270</v>
      </c>
    </row>
    <row r="47" customFormat="false" ht="15" hidden="false" customHeight="false" outlineLevel="0" collapsed="false">
      <c r="A47" s="27" t="s">
        <v>271</v>
      </c>
      <c r="B47" s="20" t="s">
        <v>272</v>
      </c>
      <c r="C47" s="30"/>
      <c r="D47" s="29"/>
      <c r="E47" s="24" t="s">
        <v>273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32"/>
    <col collapsed="false" customWidth="true" hidden="false" outlineLevel="0" max="2" min="2" style="0" width="13"/>
    <col collapsed="false" customWidth="true" hidden="false" outlineLevel="0" max="3" min="3" style="0" width="11"/>
    <col collapsed="false" customWidth="true" hidden="false" outlineLevel="0" max="4" min="4" style="0" width="26"/>
    <col collapsed="false" customWidth="true" hidden="false" outlineLevel="0" max="5" min="5" style="0" width="34"/>
    <col collapsed="false" customWidth="true" hidden="false" outlineLevel="0" max="7" min="6" style="0" width="9"/>
    <col collapsed="false" customWidth="true" hidden="false" outlineLevel="0" max="9" min="8" style="0" width="9.5"/>
    <col collapsed="false" customWidth="true" hidden="false" outlineLevel="0" max="10" min="10" style="0" width="9"/>
    <col collapsed="false" customWidth="true" hidden="false" outlineLevel="0" max="11" min="11" style="0" width="50"/>
    <col collapsed="false" customWidth="true" hidden="false" outlineLevel="0" max="12" min="12" style="0" width="46"/>
  </cols>
  <sheetData>
    <row r="1" customFormat="false" ht="15" hidden="false" customHeight="false" outlineLevel="0" collapsed="false">
      <c r="A1" s="4" t="s">
        <v>274</v>
      </c>
    </row>
    <row r="3" customFormat="false" ht="21.75" hidden="false" customHeight="true" outlineLevel="0" collapsed="false">
      <c r="A3" s="5" t="s">
        <v>34</v>
      </c>
      <c r="B3" s="5" t="s">
        <v>35</v>
      </c>
      <c r="C3" s="5" t="s">
        <v>36</v>
      </c>
      <c r="D3" s="5" t="s">
        <v>37</v>
      </c>
      <c r="E3" s="5" t="s">
        <v>38</v>
      </c>
      <c r="F3" s="5" t="s">
        <v>39</v>
      </c>
      <c r="G3" s="5" t="s">
        <v>40</v>
      </c>
      <c r="H3" s="5" t="s">
        <v>41</v>
      </c>
      <c r="I3" s="5" t="s">
        <v>42</v>
      </c>
      <c r="J3" s="5" t="s">
        <v>43</v>
      </c>
      <c r="K3" s="5" t="s">
        <v>44</v>
      </c>
      <c r="L3" s="5" t="s">
        <v>45</v>
      </c>
    </row>
    <row r="4" customFormat="false" ht="15" hidden="false" customHeight="false" outlineLevel="0" collapsed="false">
      <c r="A4" s="6" t="s">
        <v>47</v>
      </c>
      <c r="B4" s="8" t="s">
        <v>48</v>
      </c>
      <c r="C4" s="7" t="s">
        <v>49</v>
      </c>
      <c r="D4" s="7" t="s">
        <v>50</v>
      </c>
      <c r="E4" s="9"/>
      <c r="F4" s="10"/>
      <c r="G4" s="10"/>
      <c r="H4" s="11"/>
      <c r="I4" s="7" t="str">
        <f aca="false">IF(H4="","",IF(G4="","-",IF(H4&lt;G4,"Faster",IF(H4=G4,"On time","Late"))))</f>
        <v/>
      </c>
      <c r="J4" s="7"/>
      <c r="K4" s="7" t="s">
        <v>51</v>
      </c>
      <c r="L4" s="7" t="s">
        <v>52</v>
      </c>
    </row>
    <row r="5" customFormat="false" ht="15" hidden="false" customHeight="false" outlineLevel="0" collapsed="false">
      <c r="A5" s="12" t="s">
        <v>65</v>
      </c>
      <c r="B5" s="8" t="s">
        <v>48</v>
      </c>
      <c r="C5" s="13" t="s">
        <v>66</v>
      </c>
      <c r="D5" s="13" t="s">
        <v>67</v>
      </c>
      <c r="E5" s="13" t="s">
        <v>68</v>
      </c>
      <c r="F5" s="10"/>
      <c r="G5" s="10"/>
      <c r="H5" s="15"/>
      <c r="I5" s="13" t="str">
        <f aca="false">IF(H5="","",IF(G5="","-",IF(H5&lt;G5,"Faster",IF(H5=G5,"On time","Late"))))</f>
        <v/>
      </c>
      <c r="J5" s="13"/>
      <c r="K5" s="13" t="s">
        <v>69</v>
      </c>
      <c r="L5" s="13" t="s">
        <v>70</v>
      </c>
    </row>
    <row r="6" customFormat="false" ht="15" hidden="false" customHeight="false" outlineLevel="0" collapsed="false">
      <c r="A6" s="6" t="s">
        <v>120</v>
      </c>
      <c r="B6" s="8" t="s">
        <v>48</v>
      </c>
      <c r="C6" s="7" t="s">
        <v>121</v>
      </c>
      <c r="D6" s="7" t="s">
        <v>50</v>
      </c>
      <c r="E6" s="9"/>
      <c r="F6" s="10"/>
      <c r="G6" s="10"/>
      <c r="H6" s="11"/>
      <c r="I6" s="7" t="str">
        <f aca="false">IF(H6="","",IF(G6="","-",IF(H6&lt;G6,"Faster",IF(H6=G6,"On time","Late"))))</f>
        <v/>
      </c>
      <c r="J6" s="7"/>
      <c r="K6" s="7" t="s">
        <v>122</v>
      </c>
      <c r="L6" s="7" t="s">
        <v>123</v>
      </c>
    </row>
    <row r="7" customFormat="false" ht="15" hidden="false" customHeight="false" outlineLevel="0" collapsed="false">
      <c r="A7" s="12" t="s">
        <v>124</v>
      </c>
      <c r="B7" s="8" t="s">
        <v>48</v>
      </c>
      <c r="C7" s="13" t="s">
        <v>121</v>
      </c>
      <c r="D7" s="13" t="s">
        <v>50</v>
      </c>
      <c r="E7" s="9"/>
      <c r="F7" s="10"/>
      <c r="G7" s="10"/>
      <c r="H7" s="15"/>
      <c r="I7" s="13" t="str">
        <f aca="false">IF(H7="","",IF(G7="","-",IF(H7&lt;G7,"Faster",IF(H7=G7,"On time","Late"))))</f>
        <v/>
      </c>
      <c r="J7" s="13"/>
      <c r="K7" s="13" t="s">
        <v>125</v>
      </c>
      <c r="L7" s="13" t="s">
        <v>126</v>
      </c>
    </row>
    <row r="8" customFormat="false" ht="15" hidden="false" customHeight="false" outlineLevel="0" collapsed="false">
      <c r="A8" s="6" t="s">
        <v>127</v>
      </c>
      <c r="B8" s="8" t="s">
        <v>48</v>
      </c>
      <c r="C8" s="7" t="s">
        <v>121</v>
      </c>
      <c r="D8" s="7" t="s">
        <v>50</v>
      </c>
      <c r="E8" s="9"/>
      <c r="F8" s="10"/>
      <c r="G8" s="10"/>
      <c r="H8" s="11"/>
      <c r="I8" s="7" t="str">
        <f aca="false">IF(H8="","",IF(G8="","-",IF(H8&lt;G8,"Faster",IF(H8=G8,"On time","Late"))))</f>
        <v/>
      </c>
      <c r="J8" s="7"/>
      <c r="K8" s="7" t="s">
        <v>128</v>
      </c>
      <c r="L8" s="7" t="s">
        <v>129</v>
      </c>
    </row>
    <row r="9" customFormat="false" ht="15" hidden="false" customHeight="false" outlineLevel="0" collapsed="false">
      <c r="A9" s="12" t="s">
        <v>130</v>
      </c>
      <c r="B9" s="8" t="s">
        <v>48</v>
      </c>
      <c r="C9" s="13" t="s">
        <v>121</v>
      </c>
      <c r="D9" s="13" t="s">
        <v>131</v>
      </c>
      <c r="E9" s="9"/>
      <c r="F9" s="10"/>
      <c r="G9" s="10"/>
      <c r="H9" s="15"/>
      <c r="I9" s="13" t="str">
        <f aca="false">IF(H9="","",IF(G9="","-",IF(H9&lt;G9,"Faster",IF(H9=G9,"On time","Late"))))</f>
        <v/>
      </c>
      <c r="J9" s="13"/>
      <c r="K9" s="13" t="s">
        <v>132</v>
      </c>
      <c r="L9" s="13" t="s">
        <v>133</v>
      </c>
    </row>
    <row r="10" customFormat="false" ht="15" hidden="false" customHeight="false" outlineLevel="0" collapsed="false">
      <c r="A10" s="6" t="s">
        <v>169</v>
      </c>
      <c r="B10" s="8" t="s">
        <v>48</v>
      </c>
      <c r="C10" s="7" t="s">
        <v>170</v>
      </c>
      <c r="D10" s="7" t="s">
        <v>50</v>
      </c>
      <c r="E10" s="9"/>
      <c r="F10" s="10"/>
      <c r="G10" s="10"/>
      <c r="H10" s="11"/>
      <c r="I10" s="7" t="str">
        <f aca="false">IF(H10="","",IF(G10="","-",IF(H10&lt;G10,"Faster",IF(H10=G10,"On time","Late"))))</f>
        <v/>
      </c>
      <c r="J10" s="7"/>
      <c r="K10" s="7" t="s">
        <v>171</v>
      </c>
      <c r="L10" s="7"/>
    </row>
    <row r="11" customFormat="false" ht="15" hidden="false" customHeight="false" outlineLevel="0" collapsed="false">
      <c r="A11" s="12" t="s">
        <v>172</v>
      </c>
      <c r="B11" s="17" t="s">
        <v>173</v>
      </c>
      <c r="C11" s="13" t="s">
        <v>49</v>
      </c>
      <c r="D11" s="13" t="s">
        <v>50</v>
      </c>
      <c r="E11" s="13"/>
      <c r="F11" s="10"/>
      <c r="G11" s="15"/>
      <c r="H11" s="15" t="n">
        <v>46206</v>
      </c>
      <c r="I11" s="13" t="str">
        <f aca="false">IF(H11="","",IF(G11="","-",IF(H11&lt;G11,"Faster",IF(H11=G11,"On time","Late"))))</f>
        <v>-</v>
      </c>
      <c r="J11" s="13"/>
      <c r="K11" s="13" t="s">
        <v>174</v>
      </c>
      <c r="L11" s="13" t="s">
        <v>175</v>
      </c>
    </row>
    <row r="12" customFormat="false" ht="15" hidden="false" customHeight="false" outlineLevel="0" collapsed="false">
      <c r="A12" s="6" t="s">
        <v>176</v>
      </c>
      <c r="B12" s="17" t="s">
        <v>173</v>
      </c>
      <c r="C12" s="7" t="s">
        <v>49</v>
      </c>
      <c r="D12" s="7" t="s">
        <v>50</v>
      </c>
      <c r="E12" s="7"/>
      <c r="F12" s="10"/>
      <c r="G12" s="11"/>
      <c r="H12" s="10"/>
      <c r="I12" s="7" t="str">
        <f aca="false">IF(H12="","",IF(G12="","-",IF(H12&lt;G12,"Faster",IF(H12=G12,"On time","Late"))))</f>
        <v/>
      </c>
      <c r="J12" s="7"/>
      <c r="K12" s="7" t="s">
        <v>177</v>
      </c>
      <c r="L12" s="7"/>
    </row>
    <row r="13" customFormat="false" ht="15" hidden="false" customHeight="false" outlineLevel="0" collapsed="false">
      <c r="A13" s="12" t="s">
        <v>178</v>
      </c>
      <c r="B13" s="17" t="s">
        <v>173</v>
      </c>
      <c r="C13" s="13" t="s">
        <v>49</v>
      </c>
      <c r="D13" s="13" t="s">
        <v>50</v>
      </c>
      <c r="E13" s="13"/>
      <c r="F13" s="10"/>
      <c r="G13" s="15"/>
      <c r="H13" s="15" t="n">
        <v>46219</v>
      </c>
      <c r="I13" s="13" t="str">
        <f aca="false">IF(H13="","",IF(G13="","-",IF(H13&lt;G13,"Faster",IF(H13=G13,"On time","Late"))))</f>
        <v>-</v>
      </c>
      <c r="J13" s="13"/>
      <c r="K13" s="13" t="s">
        <v>179</v>
      </c>
      <c r="L13" s="13"/>
    </row>
    <row r="14" customFormat="false" ht="15" hidden="false" customHeight="false" outlineLevel="0" collapsed="false">
      <c r="A14" s="6" t="s">
        <v>180</v>
      </c>
      <c r="B14" s="17" t="s">
        <v>173</v>
      </c>
      <c r="C14" s="7" t="s">
        <v>66</v>
      </c>
      <c r="D14" s="7" t="s">
        <v>50</v>
      </c>
      <c r="E14" s="7"/>
      <c r="F14" s="10"/>
      <c r="G14" s="11"/>
      <c r="H14" s="10"/>
      <c r="I14" s="7" t="str">
        <f aca="false">IF(H14="","",IF(G14="","-",IF(H14&lt;G14,"Faster",IF(H14=G14,"On time","Late"))))</f>
        <v/>
      </c>
      <c r="J14" s="7"/>
      <c r="K14" s="7" t="s">
        <v>181</v>
      </c>
      <c r="L14" s="7" t="s">
        <v>182</v>
      </c>
    </row>
  </sheetData>
  <dataValidations count="2">
    <dataValidation allowBlank="true" errorStyle="stop" operator="between" showDropDown="false" showErrorMessage="false" showInputMessage="false" sqref="B4:B400" type="list">
      <formula1>"Not Started,In Progress,Blocked,Completed,Cancelled"</formula1>
      <formula2>0</formula2>
    </dataValidation>
    <dataValidation allowBlank="true" errorStyle="stop" operator="between" showDropDown="false" showErrorMessage="false" showInputMessage="false" sqref="C4:C400" type="list">
      <formula1>"Urgent,High,Normal,Low"</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32"/>
    <col collapsed="false" customWidth="true" hidden="false" outlineLevel="0" max="2" min="2" style="0" width="13"/>
    <col collapsed="false" customWidth="true" hidden="false" outlineLevel="0" max="3" min="3" style="0" width="11"/>
    <col collapsed="false" customWidth="true" hidden="false" outlineLevel="0" max="4" min="4" style="0" width="26"/>
    <col collapsed="false" customWidth="true" hidden="false" outlineLevel="0" max="5" min="5" style="0" width="34"/>
    <col collapsed="false" customWidth="true" hidden="false" outlineLevel="0" max="7" min="6" style="0" width="9"/>
    <col collapsed="false" customWidth="true" hidden="false" outlineLevel="0" max="9" min="8" style="0" width="9.5"/>
    <col collapsed="false" customWidth="true" hidden="false" outlineLevel="0" max="10" min="10" style="0" width="9"/>
    <col collapsed="false" customWidth="true" hidden="false" outlineLevel="0" max="11" min="11" style="0" width="50"/>
    <col collapsed="false" customWidth="true" hidden="false" outlineLevel="0" max="12" min="12" style="0" width="46"/>
  </cols>
  <sheetData>
    <row r="1" customFormat="false" ht="15" hidden="false" customHeight="false" outlineLevel="0" collapsed="false">
      <c r="A1" s="4" t="s">
        <v>275</v>
      </c>
    </row>
    <row r="3" customFormat="false" ht="21.75" hidden="false" customHeight="true" outlineLevel="0" collapsed="false">
      <c r="A3" s="5" t="s">
        <v>34</v>
      </c>
      <c r="B3" s="5" t="s">
        <v>35</v>
      </c>
      <c r="C3" s="5" t="s">
        <v>36</v>
      </c>
      <c r="D3" s="5" t="s">
        <v>37</v>
      </c>
      <c r="E3" s="5" t="s">
        <v>38</v>
      </c>
      <c r="F3" s="5" t="s">
        <v>39</v>
      </c>
      <c r="G3" s="5" t="s">
        <v>40</v>
      </c>
      <c r="H3" s="5" t="s">
        <v>41</v>
      </c>
      <c r="I3" s="5" t="s">
        <v>42</v>
      </c>
      <c r="J3" s="5" t="s">
        <v>43</v>
      </c>
      <c r="K3" s="5" t="s">
        <v>44</v>
      </c>
      <c r="L3" s="5" t="s">
        <v>45</v>
      </c>
    </row>
    <row r="4" customFormat="false" ht="15" hidden="false" customHeight="false" outlineLevel="0" collapsed="false">
      <c r="A4" s="6" t="s">
        <v>54</v>
      </c>
      <c r="B4" s="14" t="s">
        <v>55</v>
      </c>
      <c r="C4" s="7" t="s">
        <v>49</v>
      </c>
      <c r="D4" s="7" t="s">
        <v>56</v>
      </c>
      <c r="E4" s="9"/>
      <c r="F4" s="10"/>
      <c r="G4" s="10"/>
      <c r="H4" s="11"/>
      <c r="I4" s="7" t="str">
        <f aca="false">IF(H4="","",IF(G4="","-",IF(H4&lt;G4,"Faster",IF(H4=G4,"On time","Late"))))</f>
        <v/>
      </c>
      <c r="J4" s="7"/>
      <c r="K4" s="7" t="s">
        <v>57</v>
      </c>
      <c r="L4" s="7" t="s">
        <v>58</v>
      </c>
    </row>
    <row r="5" customFormat="false" ht="15" hidden="false" customHeight="false" outlineLevel="0" collapsed="false">
      <c r="A5" s="12" t="s">
        <v>71</v>
      </c>
      <c r="B5" s="8" t="s">
        <v>48</v>
      </c>
      <c r="C5" s="13" t="s">
        <v>66</v>
      </c>
      <c r="D5" s="13" t="s">
        <v>72</v>
      </c>
      <c r="E5" s="13" t="s">
        <v>73</v>
      </c>
      <c r="F5" s="10"/>
      <c r="G5" s="15" t="n">
        <v>46223</v>
      </c>
      <c r="H5" s="15"/>
      <c r="I5" s="13" t="str">
        <f aca="false">IF(H5="","",IF(G5="","-",IF(H5&lt;G5,"Faster",IF(H5=G5,"On time","Late"))))</f>
        <v/>
      </c>
      <c r="J5" s="13"/>
      <c r="K5" s="13" t="s">
        <v>74</v>
      </c>
      <c r="L5" s="13" t="s">
        <v>75</v>
      </c>
    </row>
    <row r="6" customFormat="false" ht="15" hidden="false" customHeight="false" outlineLevel="0" collapsed="false">
      <c r="A6" s="6" t="s">
        <v>76</v>
      </c>
      <c r="B6" s="8" t="s">
        <v>48</v>
      </c>
      <c r="C6" s="7" t="s">
        <v>66</v>
      </c>
      <c r="D6" s="7" t="s">
        <v>72</v>
      </c>
      <c r="E6" s="9"/>
      <c r="F6" s="10"/>
      <c r="G6" s="10"/>
      <c r="H6" s="11"/>
      <c r="I6" s="7" t="str">
        <f aca="false">IF(H6="","",IF(G6="","-",IF(H6&lt;G6,"Faster",IF(H6=G6,"On time","Late"))))</f>
        <v/>
      </c>
      <c r="J6" s="7"/>
      <c r="K6" s="7" t="s">
        <v>77</v>
      </c>
      <c r="L6" s="7" t="s">
        <v>78</v>
      </c>
    </row>
    <row r="7" customFormat="false" ht="15" hidden="false" customHeight="false" outlineLevel="0" collapsed="false">
      <c r="A7" s="12" t="s">
        <v>79</v>
      </c>
      <c r="B7" s="8" t="s">
        <v>48</v>
      </c>
      <c r="C7" s="13" t="s">
        <v>66</v>
      </c>
      <c r="D7" s="13" t="s">
        <v>72</v>
      </c>
      <c r="E7" s="9"/>
      <c r="F7" s="10"/>
      <c r="G7" s="10"/>
      <c r="H7" s="15"/>
      <c r="I7" s="13" t="str">
        <f aca="false">IF(H7="","",IF(G7="","-",IF(H7&lt;G7,"Faster",IF(H7=G7,"On time","Late"))))</f>
        <v/>
      </c>
      <c r="J7" s="13"/>
      <c r="K7" s="13" t="s">
        <v>80</v>
      </c>
      <c r="L7" s="13" t="s">
        <v>81</v>
      </c>
    </row>
    <row r="8" customFormat="false" ht="15" hidden="false" customHeight="false" outlineLevel="0" collapsed="false">
      <c r="A8" s="6" t="s">
        <v>82</v>
      </c>
      <c r="B8" s="8" t="s">
        <v>48</v>
      </c>
      <c r="C8" s="7" t="s">
        <v>66</v>
      </c>
      <c r="D8" s="7" t="s">
        <v>83</v>
      </c>
      <c r="E8" s="9"/>
      <c r="F8" s="10"/>
      <c r="G8" s="10"/>
      <c r="H8" s="11"/>
      <c r="I8" s="7" t="str">
        <f aca="false">IF(H8="","",IF(G8="","-",IF(H8&lt;G8,"Faster",IF(H8=G8,"On time","Late"))))</f>
        <v/>
      </c>
      <c r="J8" s="7"/>
      <c r="K8" s="7" t="s">
        <v>84</v>
      </c>
      <c r="L8" s="7"/>
    </row>
    <row r="9" customFormat="false" ht="15" hidden="false" customHeight="false" outlineLevel="0" collapsed="false">
      <c r="A9" s="12" t="s">
        <v>134</v>
      </c>
      <c r="B9" s="8" t="s">
        <v>48</v>
      </c>
      <c r="C9" s="13" t="s">
        <v>121</v>
      </c>
      <c r="D9" s="13" t="s">
        <v>135</v>
      </c>
      <c r="E9" s="9"/>
      <c r="F9" s="10"/>
      <c r="G9" s="10"/>
      <c r="H9" s="15"/>
      <c r="I9" s="13" t="str">
        <f aca="false">IF(H9="","",IF(G9="","-",IF(H9&lt;G9,"Faster",IF(H9=G9,"On time","Late"))))</f>
        <v/>
      </c>
      <c r="J9" s="13"/>
      <c r="K9" s="13" t="s">
        <v>136</v>
      </c>
      <c r="L9" s="13"/>
    </row>
    <row r="10" customFormat="false" ht="15" hidden="false" customHeight="false" outlineLevel="0" collapsed="false">
      <c r="A10" s="6" t="s">
        <v>137</v>
      </c>
      <c r="B10" s="8" t="s">
        <v>48</v>
      </c>
      <c r="C10" s="7" t="s">
        <v>121</v>
      </c>
      <c r="D10" s="7" t="s">
        <v>72</v>
      </c>
      <c r="E10" s="9"/>
      <c r="F10" s="10"/>
      <c r="G10" s="10"/>
      <c r="H10" s="11"/>
      <c r="I10" s="7" t="str">
        <f aca="false">IF(H10="","",IF(G10="","-",IF(H10&lt;G10,"Faster",IF(H10=G10,"On time","Late"))))</f>
        <v/>
      </c>
      <c r="J10" s="7"/>
      <c r="K10" s="7" t="s">
        <v>138</v>
      </c>
      <c r="L10" s="7" t="s">
        <v>139</v>
      </c>
    </row>
    <row r="11" customFormat="false" ht="15" hidden="false" customHeight="false" outlineLevel="0" collapsed="false">
      <c r="A11" s="12" t="s">
        <v>140</v>
      </c>
      <c r="B11" s="8" t="s">
        <v>48</v>
      </c>
      <c r="C11" s="13" t="s">
        <v>121</v>
      </c>
      <c r="D11" s="13" t="s">
        <v>72</v>
      </c>
      <c r="E11" s="9"/>
      <c r="F11" s="10"/>
      <c r="G11" s="10"/>
      <c r="H11" s="15"/>
      <c r="I11" s="13" t="str">
        <f aca="false">IF(H11="","",IF(G11="","-",IF(H11&lt;G11,"Faster",IF(H11=G11,"On time","Late"))))</f>
        <v/>
      </c>
      <c r="J11" s="13"/>
      <c r="K11" s="13" t="s">
        <v>141</v>
      </c>
      <c r="L11" s="13" t="s">
        <v>142</v>
      </c>
    </row>
    <row r="12" customFormat="false" ht="15" hidden="false" customHeight="false" outlineLevel="0" collapsed="false">
      <c r="A12" s="6" t="s">
        <v>143</v>
      </c>
      <c r="B12" s="8" t="s">
        <v>48</v>
      </c>
      <c r="C12" s="7" t="s">
        <v>121</v>
      </c>
      <c r="D12" s="7" t="s">
        <v>72</v>
      </c>
      <c r="E12" s="9"/>
      <c r="F12" s="10"/>
      <c r="G12" s="10"/>
      <c r="H12" s="11"/>
      <c r="I12" s="7" t="str">
        <f aca="false">IF(H12="","",IF(G12="","-",IF(H12&lt;G12,"Faster",IF(H12=G12,"On time","Late"))))</f>
        <v/>
      </c>
      <c r="J12" s="7"/>
      <c r="K12" s="7" t="s">
        <v>144</v>
      </c>
      <c r="L12" s="7" t="s">
        <v>145</v>
      </c>
    </row>
    <row r="13" customFormat="false" ht="15" hidden="false" customHeight="false" outlineLevel="0" collapsed="false">
      <c r="A13" s="12" t="s">
        <v>146</v>
      </c>
      <c r="B13" s="16" t="s">
        <v>147</v>
      </c>
      <c r="C13" s="13" t="s">
        <v>121</v>
      </c>
      <c r="D13" s="13" t="s">
        <v>72</v>
      </c>
      <c r="E13" s="9"/>
      <c r="F13" s="10"/>
      <c r="G13" s="10"/>
      <c r="H13" s="15"/>
      <c r="I13" s="13" t="str">
        <f aca="false">IF(H13="","",IF(G13="","-",IF(H13&lt;G13,"Faster",IF(H13=G13,"On time","Late"))))</f>
        <v/>
      </c>
      <c r="J13" s="13"/>
      <c r="K13" s="13" t="s">
        <v>148</v>
      </c>
      <c r="L13" s="13" t="s">
        <v>149</v>
      </c>
    </row>
    <row r="14" customFormat="false" ht="15" hidden="false" customHeight="false" outlineLevel="0" collapsed="false">
      <c r="A14" s="6" t="s">
        <v>150</v>
      </c>
      <c r="B14" s="16" t="s">
        <v>147</v>
      </c>
      <c r="C14" s="7" t="s">
        <v>121</v>
      </c>
      <c r="D14" s="7" t="s">
        <v>72</v>
      </c>
      <c r="E14" s="9"/>
      <c r="F14" s="10"/>
      <c r="G14" s="10"/>
      <c r="H14" s="11"/>
      <c r="I14" s="7" t="str">
        <f aca="false">IF(H14="","",IF(G14="","-",IF(H14&lt;G14,"Faster",IF(H14=G14,"On time","Late"))))</f>
        <v/>
      </c>
      <c r="J14" s="7"/>
      <c r="K14" s="7" t="s">
        <v>151</v>
      </c>
      <c r="L14" s="7" t="s">
        <v>152</v>
      </c>
    </row>
    <row r="15" customFormat="false" ht="15" hidden="false" customHeight="false" outlineLevel="0" collapsed="false">
      <c r="A15" s="12" t="s">
        <v>153</v>
      </c>
      <c r="B15" s="16" t="s">
        <v>147</v>
      </c>
      <c r="C15" s="13" t="s">
        <v>121</v>
      </c>
      <c r="D15" s="13" t="s">
        <v>131</v>
      </c>
      <c r="E15" s="9"/>
      <c r="F15" s="10"/>
      <c r="G15" s="10"/>
      <c r="H15" s="15"/>
      <c r="I15" s="13" t="str">
        <f aca="false">IF(H15="","",IF(G15="","-",IF(H15&lt;G15,"Faster",IF(H15=G15,"On time","Late"))))</f>
        <v/>
      </c>
      <c r="J15" s="13"/>
      <c r="K15" s="13" t="s">
        <v>154</v>
      </c>
      <c r="L15" s="13" t="s">
        <v>155</v>
      </c>
    </row>
    <row r="16" customFormat="false" ht="15" hidden="false" customHeight="false" outlineLevel="0" collapsed="false">
      <c r="A16" s="6" t="s">
        <v>185</v>
      </c>
      <c r="B16" s="18" t="s">
        <v>186</v>
      </c>
      <c r="C16" s="7" t="s">
        <v>170</v>
      </c>
      <c r="D16" s="7" t="s">
        <v>72</v>
      </c>
      <c r="E16" s="7"/>
      <c r="F16" s="11"/>
      <c r="G16" s="11"/>
      <c r="H16" s="11"/>
      <c r="I16" s="7" t="str">
        <f aca="false">IF(H16="","",IF(G16="","-",IF(H16&lt;G16,"Faster",IF(H16=G16,"On time","Late"))))</f>
        <v/>
      </c>
      <c r="J16" s="7"/>
      <c r="K16" s="7" t="s">
        <v>187</v>
      </c>
      <c r="L16" s="7" t="s">
        <v>188</v>
      </c>
    </row>
    <row r="17" customFormat="false" ht="15" hidden="false" customHeight="false" outlineLevel="0" collapsed="false">
      <c r="A17" s="12" t="s">
        <v>189</v>
      </c>
      <c r="B17" s="18" t="s">
        <v>186</v>
      </c>
      <c r="C17" s="13" t="s">
        <v>170</v>
      </c>
      <c r="D17" s="13" t="s">
        <v>72</v>
      </c>
      <c r="E17" s="13"/>
      <c r="F17" s="15"/>
      <c r="G17" s="15"/>
      <c r="H17" s="15"/>
      <c r="I17" s="13" t="str">
        <f aca="false">IF(H17="","",IF(G17="","-",IF(H17&lt;G17,"Faster",IF(H17=G17,"On time","Late"))))</f>
        <v/>
      </c>
      <c r="J17" s="13"/>
      <c r="K17" s="13" t="s">
        <v>190</v>
      </c>
      <c r="L17" s="13" t="s">
        <v>191</v>
      </c>
    </row>
  </sheetData>
  <dataValidations count="2">
    <dataValidation allowBlank="true" errorStyle="stop" operator="between" showDropDown="false" showErrorMessage="false" showInputMessage="false" sqref="B4:B400" type="list">
      <formula1>"Not Started,In Progress,Blocked,Completed,Cancelled"</formula1>
      <formula2>0</formula2>
    </dataValidation>
    <dataValidation allowBlank="true" errorStyle="stop" operator="between" showDropDown="false" showErrorMessage="false" showInputMessage="false" sqref="C4:C400" type="list">
      <formula1>"Urgent,High,Normal,Low"</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32"/>
    <col collapsed="false" customWidth="true" hidden="false" outlineLevel="0" max="2" min="2" style="0" width="13"/>
    <col collapsed="false" customWidth="true" hidden="false" outlineLevel="0" max="3" min="3" style="0" width="11"/>
    <col collapsed="false" customWidth="true" hidden="false" outlineLevel="0" max="4" min="4" style="0" width="26"/>
    <col collapsed="false" customWidth="true" hidden="false" outlineLevel="0" max="5" min="5" style="0" width="34"/>
    <col collapsed="false" customWidth="true" hidden="false" outlineLevel="0" max="7" min="6" style="0" width="9"/>
    <col collapsed="false" customWidth="true" hidden="false" outlineLevel="0" max="9" min="8" style="0" width="9.5"/>
    <col collapsed="false" customWidth="true" hidden="false" outlineLevel="0" max="10" min="10" style="0" width="9"/>
    <col collapsed="false" customWidth="true" hidden="false" outlineLevel="0" max="11" min="11" style="0" width="50"/>
    <col collapsed="false" customWidth="true" hidden="false" outlineLevel="0" max="12" min="12" style="0" width="46"/>
  </cols>
  <sheetData>
    <row r="1" customFormat="false" ht="15" hidden="false" customHeight="false" outlineLevel="0" collapsed="false">
      <c r="A1" s="4" t="s">
        <v>276</v>
      </c>
    </row>
    <row r="3" customFormat="false" ht="21.75" hidden="false" customHeight="true" outlineLevel="0" collapsed="false">
      <c r="A3" s="5" t="s">
        <v>34</v>
      </c>
      <c r="B3" s="5" t="s">
        <v>35</v>
      </c>
      <c r="C3" s="5" t="s">
        <v>36</v>
      </c>
      <c r="D3" s="5" t="s">
        <v>37</v>
      </c>
      <c r="E3" s="5" t="s">
        <v>38</v>
      </c>
      <c r="F3" s="5" t="s">
        <v>39</v>
      </c>
      <c r="G3" s="5" t="s">
        <v>40</v>
      </c>
      <c r="H3" s="5" t="s">
        <v>41</v>
      </c>
      <c r="I3" s="5" t="s">
        <v>42</v>
      </c>
      <c r="J3" s="5" t="s">
        <v>43</v>
      </c>
      <c r="K3" s="5" t="s">
        <v>44</v>
      </c>
      <c r="L3" s="5" t="s">
        <v>45</v>
      </c>
    </row>
    <row r="4" customFormat="false" ht="15" hidden="false" customHeight="false" outlineLevel="0" collapsed="false">
      <c r="A4" s="6" t="s">
        <v>86</v>
      </c>
      <c r="B4" s="8" t="s">
        <v>48</v>
      </c>
      <c r="C4" s="7" t="s">
        <v>66</v>
      </c>
      <c r="D4" s="7" t="s">
        <v>87</v>
      </c>
      <c r="E4" s="7" t="s">
        <v>88</v>
      </c>
      <c r="F4" s="10"/>
      <c r="G4" s="10"/>
      <c r="H4" s="11"/>
      <c r="I4" s="7" t="str">
        <f aca="false">IF(H4="","",IF(G4="","-",IF(H4&lt;G4,"Faster",IF(H4=G4,"On time","Late"))))</f>
        <v/>
      </c>
      <c r="J4" s="7"/>
      <c r="K4" s="7" t="s">
        <v>89</v>
      </c>
      <c r="L4" s="7" t="s">
        <v>90</v>
      </c>
    </row>
    <row r="5" customFormat="false" ht="15" hidden="false" customHeight="false" outlineLevel="0" collapsed="false">
      <c r="A5" s="12" t="s">
        <v>156</v>
      </c>
      <c r="B5" s="8" t="s">
        <v>48</v>
      </c>
      <c r="C5" s="13" t="s">
        <v>121</v>
      </c>
      <c r="D5" s="13" t="s">
        <v>157</v>
      </c>
      <c r="E5" s="9"/>
      <c r="F5" s="10"/>
      <c r="G5" s="10"/>
      <c r="H5" s="15"/>
      <c r="I5" s="13" t="str">
        <f aca="false">IF(H5="","",IF(G5="","-",IF(H5&lt;G5,"Faster",IF(H5=G5,"On time","Late"))))</f>
        <v/>
      </c>
      <c r="J5" s="13"/>
      <c r="K5" s="13" t="s">
        <v>158</v>
      </c>
      <c r="L5" s="13"/>
    </row>
    <row r="6" customFormat="false" ht="15" hidden="false" customHeight="false" outlineLevel="0" collapsed="false">
      <c r="A6" s="6" t="s">
        <v>183</v>
      </c>
      <c r="B6" s="17" t="s">
        <v>173</v>
      </c>
      <c r="C6" s="7" t="s">
        <v>66</v>
      </c>
      <c r="D6" s="7" t="s">
        <v>157</v>
      </c>
      <c r="E6" s="7"/>
      <c r="F6" s="10"/>
      <c r="G6" s="11"/>
      <c r="H6" s="11" t="n">
        <v>46213</v>
      </c>
      <c r="I6" s="7" t="str">
        <f aca="false">IF(H6="","",IF(G6="","-",IF(H6&lt;G6,"Faster",IF(H6=G6,"On time","Late"))))</f>
        <v>-</v>
      </c>
      <c r="J6" s="7"/>
      <c r="K6" s="7" t="s">
        <v>184</v>
      </c>
      <c r="L6" s="7"/>
    </row>
  </sheetData>
  <dataValidations count="2">
    <dataValidation allowBlank="true" errorStyle="stop" operator="between" showDropDown="false" showErrorMessage="false" showInputMessage="false" sqref="B4:B400" type="list">
      <formula1>"Not Started,In Progress,Blocked,Completed,Cancelled"</formula1>
      <formula2>0</formula2>
    </dataValidation>
    <dataValidation allowBlank="true" errorStyle="stop" operator="between" showDropDown="false" showErrorMessage="false" showInputMessage="false" sqref="C4:C400" type="list">
      <formula1>"Urgent,High,Normal,Low"</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32"/>
    <col collapsed="false" customWidth="true" hidden="false" outlineLevel="0" max="2" min="2" style="0" width="13"/>
    <col collapsed="false" customWidth="true" hidden="false" outlineLevel="0" max="3" min="3" style="0" width="11"/>
    <col collapsed="false" customWidth="true" hidden="false" outlineLevel="0" max="4" min="4" style="0" width="26"/>
    <col collapsed="false" customWidth="true" hidden="false" outlineLevel="0" max="5" min="5" style="0" width="34"/>
    <col collapsed="false" customWidth="true" hidden="false" outlineLevel="0" max="7" min="6" style="0" width="9"/>
    <col collapsed="false" customWidth="true" hidden="false" outlineLevel="0" max="9" min="8" style="0" width="9.5"/>
    <col collapsed="false" customWidth="true" hidden="false" outlineLevel="0" max="10" min="10" style="0" width="9"/>
    <col collapsed="false" customWidth="true" hidden="false" outlineLevel="0" max="11" min="11" style="0" width="50"/>
    <col collapsed="false" customWidth="true" hidden="false" outlineLevel="0" max="12" min="12" style="0" width="46"/>
  </cols>
  <sheetData>
    <row r="1" customFormat="false" ht="15" hidden="false" customHeight="false" outlineLevel="0" collapsed="false">
      <c r="A1" s="4" t="s">
        <v>277</v>
      </c>
    </row>
    <row r="3" customFormat="false" ht="21.75" hidden="false" customHeight="true" outlineLevel="0" collapsed="false">
      <c r="A3" s="5" t="s">
        <v>34</v>
      </c>
      <c r="B3" s="5" t="s">
        <v>35</v>
      </c>
      <c r="C3" s="5" t="s">
        <v>36</v>
      </c>
      <c r="D3" s="5" t="s">
        <v>37</v>
      </c>
      <c r="E3" s="5" t="s">
        <v>38</v>
      </c>
      <c r="F3" s="5" t="s">
        <v>39</v>
      </c>
      <c r="G3" s="5" t="s">
        <v>40</v>
      </c>
      <c r="H3" s="5" t="s">
        <v>41</v>
      </c>
      <c r="I3" s="5" t="s">
        <v>42</v>
      </c>
      <c r="J3" s="5" t="s">
        <v>43</v>
      </c>
      <c r="K3" s="5" t="s">
        <v>44</v>
      </c>
      <c r="L3" s="5" t="s">
        <v>45</v>
      </c>
    </row>
    <row r="4" customFormat="false" ht="15" hidden="false" customHeight="false" outlineLevel="0" collapsed="false">
      <c r="A4" s="6" t="s">
        <v>60</v>
      </c>
      <c r="B4" s="8" t="s">
        <v>48</v>
      </c>
      <c r="C4" s="7" t="s">
        <v>49</v>
      </c>
      <c r="D4" s="7" t="s">
        <v>61</v>
      </c>
      <c r="E4" s="7" t="s">
        <v>62</v>
      </c>
      <c r="F4" s="10"/>
      <c r="G4" s="10"/>
      <c r="H4" s="11"/>
      <c r="I4" s="7" t="str">
        <f aca="false">IF(H4="","",IF(G4="","-",IF(H4&lt;G4,"Faster",IF(H4=G4,"On time","Late"))))</f>
        <v/>
      </c>
      <c r="J4" s="7"/>
      <c r="K4" s="7" t="s">
        <v>63</v>
      </c>
      <c r="L4" s="7" t="s">
        <v>64</v>
      </c>
    </row>
    <row r="5" customFormat="false" ht="15" hidden="false" customHeight="false" outlineLevel="0" collapsed="false">
      <c r="A5" s="12" t="s">
        <v>91</v>
      </c>
      <c r="B5" s="8" t="s">
        <v>48</v>
      </c>
      <c r="C5" s="13" t="s">
        <v>66</v>
      </c>
      <c r="D5" s="13" t="s">
        <v>92</v>
      </c>
      <c r="E5" s="13" t="s">
        <v>93</v>
      </c>
      <c r="F5" s="10"/>
      <c r="G5" s="10"/>
      <c r="H5" s="15"/>
      <c r="I5" s="13" t="str">
        <f aca="false">IF(H5="","",IF(G5="","-",IF(H5&lt;G5,"Faster",IF(H5=G5,"On time","Late"))))</f>
        <v/>
      </c>
      <c r="J5" s="13"/>
      <c r="K5" s="13" t="s">
        <v>94</v>
      </c>
      <c r="L5" s="13" t="s">
        <v>95</v>
      </c>
    </row>
    <row r="6" customFormat="false" ht="15" hidden="false" customHeight="false" outlineLevel="0" collapsed="false">
      <c r="A6" s="6" t="s">
        <v>96</v>
      </c>
      <c r="B6" s="14" t="s">
        <v>55</v>
      </c>
      <c r="C6" s="7" t="s">
        <v>66</v>
      </c>
      <c r="D6" s="7" t="s">
        <v>97</v>
      </c>
      <c r="E6" s="9"/>
      <c r="F6" s="10"/>
      <c r="G6" s="10"/>
      <c r="H6" s="11"/>
      <c r="I6" s="7" t="str">
        <f aca="false">IF(H6="","",IF(G6="","-",IF(H6&lt;G6,"Faster",IF(H6=G6,"On time","Late"))))</f>
        <v/>
      </c>
      <c r="J6" s="7"/>
      <c r="K6" s="7" t="s">
        <v>98</v>
      </c>
      <c r="L6" s="7" t="s">
        <v>99</v>
      </c>
    </row>
  </sheetData>
  <dataValidations count="2">
    <dataValidation allowBlank="true" errorStyle="stop" operator="between" showDropDown="false" showErrorMessage="false" showInputMessage="false" sqref="B4:B400" type="list">
      <formula1>"Not Started,In Progress,Blocked,Completed,Cancelled"</formula1>
      <formula2>0</formula2>
    </dataValidation>
    <dataValidation allowBlank="true" errorStyle="stop" operator="between" showDropDown="false" showErrorMessage="false" showInputMessage="false" sqref="C4:C400" type="list">
      <formula1>"Urgent,High,Normal,Low"</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32"/>
    <col collapsed="false" customWidth="true" hidden="false" outlineLevel="0" max="2" min="2" style="0" width="13"/>
    <col collapsed="false" customWidth="true" hidden="false" outlineLevel="0" max="3" min="3" style="0" width="11"/>
    <col collapsed="false" customWidth="true" hidden="false" outlineLevel="0" max="4" min="4" style="0" width="26"/>
    <col collapsed="false" customWidth="true" hidden="false" outlineLevel="0" max="5" min="5" style="0" width="34"/>
    <col collapsed="false" customWidth="true" hidden="false" outlineLevel="0" max="7" min="6" style="0" width="9"/>
    <col collapsed="false" customWidth="true" hidden="false" outlineLevel="0" max="9" min="8" style="0" width="9.5"/>
    <col collapsed="false" customWidth="true" hidden="false" outlineLevel="0" max="10" min="10" style="0" width="9"/>
    <col collapsed="false" customWidth="true" hidden="false" outlineLevel="0" max="11" min="11" style="0" width="50"/>
    <col collapsed="false" customWidth="true" hidden="false" outlineLevel="0" max="12" min="12" style="0" width="46"/>
  </cols>
  <sheetData>
    <row r="1" customFormat="false" ht="15" hidden="false" customHeight="false" outlineLevel="0" collapsed="false">
      <c r="A1" s="4" t="s">
        <v>278</v>
      </c>
    </row>
    <row r="3" customFormat="false" ht="21.75" hidden="false" customHeight="true" outlineLevel="0" collapsed="false">
      <c r="A3" s="5" t="s">
        <v>34</v>
      </c>
      <c r="B3" s="5" t="s">
        <v>35</v>
      </c>
      <c r="C3" s="5" t="s">
        <v>36</v>
      </c>
      <c r="D3" s="5" t="s">
        <v>37</v>
      </c>
      <c r="E3" s="5" t="s">
        <v>38</v>
      </c>
      <c r="F3" s="5" t="s">
        <v>39</v>
      </c>
      <c r="G3" s="5" t="s">
        <v>40</v>
      </c>
      <c r="H3" s="5" t="s">
        <v>41</v>
      </c>
      <c r="I3" s="5" t="s">
        <v>42</v>
      </c>
      <c r="J3" s="5" t="s">
        <v>43</v>
      </c>
      <c r="K3" s="5" t="s">
        <v>44</v>
      </c>
      <c r="L3" s="5" t="s">
        <v>45</v>
      </c>
    </row>
    <row r="4" customFormat="false" ht="15" hidden="false" customHeight="false" outlineLevel="0" collapsed="false">
      <c r="A4" s="6" t="s">
        <v>101</v>
      </c>
      <c r="B4" s="8" t="s">
        <v>48</v>
      </c>
      <c r="C4" s="7" t="s">
        <v>66</v>
      </c>
      <c r="D4" s="7" t="s">
        <v>102</v>
      </c>
      <c r="E4" s="9"/>
      <c r="F4" s="10"/>
      <c r="G4" s="10"/>
      <c r="H4" s="11"/>
      <c r="I4" s="7" t="str">
        <f aca="false">IF(H4="","",IF(G4="","-",IF(H4&lt;G4,"Faster",IF(H4=G4,"On time","Late"))))</f>
        <v/>
      </c>
      <c r="J4" s="7"/>
      <c r="K4" s="7" t="s">
        <v>103</v>
      </c>
      <c r="L4" s="7" t="s">
        <v>104</v>
      </c>
    </row>
    <row r="5" customFormat="false" ht="15" hidden="false" customHeight="false" outlineLevel="0" collapsed="false">
      <c r="A5" s="12" t="s">
        <v>105</v>
      </c>
      <c r="B5" s="8" t="s">
        <v>48</v>
      </c>
      <c r="C5" s="13" t="s">
        <v>66</v>
      </c>
      <c r="D5" s="13" t="s">
        <v>102</v>
      </c>
      <c r="E5" s="9"/>
      <c r="F5" s="10"/>
      <c r="G5" s="10"/>
      <c r="H5" s="15"/>
      <c r="I5" s="13" t="str">
        <f aca="false">IF(H5="","",IF(G5="","-",IF(H5&lt;G5,"Faster",IF(H5=G5,"On time","Late"))))</f>
        <v/>
      </c>
      <c r="J5" s="13"/>
      <c r="K5" s="13" t="s">
        <v>106</v>
      </c>
      <c r="L5" s="13" t="s">
        <v>107</v>
      </c>
    </row>
    <row r="6" customFormat="false" ht="15" hidden="false" customHeight="false" outlineLevel="0" collapsed="false">
      <c r="A6" s="6" t="s">
        <v>108</v>
      </c>
      <c r="B6" s="8" t="s">
        <v>48</v>
      </c>
      <c r="C6" s="7" t="s">
        <v>66</v>
      </c>
      <c r="D6" s="7" t="s">
        <v>109</v>
      </c>
      <c r="E6" s="7" t="s">
        <v>110</v>
      </c>
      <c r="F6" s="10"/>
      <c r="G6" s="10"/>
      <c r="H6" s="11"/>
      <c r="I6" s="7" t="str">
        <f aca="false">IF(H6="","",IF(G6="","-",IF(H6&lt;G6,"Faster",IF(H6=G6,"On time","Late"))))</f>
        <v/>
      </c>
      <c r="J6" s="7"/>
      <c r="K6" s="7" t="s">
        <v>111</v>
      </c>
      <c r="L6" s="7" t="s">
        <v>112</v>
      </c>
    </row>
    <row r="7" customFormat="false" ht="15" hidden="false" customHeight="false" outlineLevel="0" collapsed="false">
      <c r="A7" s="12" t="s">
        <v>113</v>
      </c>
      <c r="B7" s="8" t="s">
        <v>48</v>
      </c>
      <c r="C7" s="13" t="s">
        <v>66</v>
      </c>
      <c r="D7" s="13" t="s">
        <v>102</v>
      </c>
      <c r="E7" s="9"/>
      <c r="F7" s="10"/>
      <c r="G7" s="10"/>
      <c r="H7" s="15"/>
      <c r="I7" s="13" t="str">
        <f aca="false">IF(H7="","",IF(G7="","-",IF(H7&lt;G7,"Faster",IF(H7=G7,"On time","Late"))))</f>
        <v/>
      </c>
      <c r="J7" s="13"/>
      <c r="K7" s="13" t="s">
        <v>114</v>
      </c>
      <c r="L7" s="13" t="s">
        <v>115</v>
      </c>
    </row>
    <row r="8" customFormat="false" ht="15" hidden="false" customHeight="false" outlineLevel="0" collapsed="false">
      <c r="A8" s="6" t="s">
        <v>116</v>
      </c>
      <c r="B8" s="8" t="s">
        <v>48</v>
      </c>
      <c r="C8" s="7" t="s">
        <v>66</v>
      </c>
      <c r="D8" s="7" t="s">
        <v>117</v>
      </c>
      <c r="E8" s="9"/>
      <c r="F8" s="10"/>
      <c r="G8" s="10"/>
      <c r="H8" s="11"/>
      <c r="I8" s="7" t="str">
        <f aca="false">IF(H8="","",IF(G8="","-",IF(H8&lt;G8,"Faster",IF(H8=G8,"On time","Late"))))</f>
        <v/>
      </c>
      <c r="J8" s="7"/>
      <c r="K8" s="7" t="s">
        <v>118</v>
      </c>
      <c r="L8" s="7" t="s">
        <v>119</v>
      </c>
    </row>
    <row r="9" customFormat="false" ht="15" hidden="false" customHeight="false" outlineLevel="0" collapsed="false">
      <c r="A9" s="12" t="s">
        <v>159</v>
      </c>
      <c r="B9" s="16" t="s">
        <v>147</v>
      </c>
      <c r="C9" s="13" t="s">
        <v>121</v>
      </c>
      <c r="D9" s="13" t="s">
        <v>102</v>
      </c>
      <c r="E9" s="13" t="s">
        <v>160</v>
      </c>
      <c r="F9" s="10"/>
      <c r="G9" s="10"/>
      <c r="H9" s="15"/>
      <c r="I9" s="13" t="str">
        <f aca="false">IF(H9="","",IF(G9="","-",IF(H9&lt;G9,"Faster",IF(H9=G9,"On time","Late"))))</f>
        <v/>
      </c>
      <c r="J9" s="13"/>
      <c r="K9" s="13" t="s">
        <v>161</v>
      </c>
      <c r="L9" s="13" t="s">
        <v>162</v>
      </c>
    </row>
    <row r="10" customFormat="false" ht="15" hidden="false" customHeight="false" outlineLevel="0" collapsed="false">
      <c r="A10" s="6" t="s">
        <v>163</v>
      </c>
      <c r="B10" s="16" t="s">
        <v>147</v>
      </c>
      <c r="C10" s="7" t="s">
        <v>121</v>
      </c>
      <c r="D10" s="7" t="s">
        <v>102</v>
      </c>
      <c r="E10" s="9"/>
      <c r="F10" s="10"/>
      <c r="G10" s="10"/>
      <c r="H10" s="11"/>
      <c r="I10" s="7" t="str">
        <f aca="false">IF(H10="","",IF(G10="","-",IF(H10&lt;G10,"Faster",IF(H10=G10,"On time","Late"))))</f>
        <v/>
      </c>
      <c r="J10" s="7"/>
      <c r="K10" s="7" t="s">
        <v>164</v>
      </c>
      <c r="L10" s="7" t="s">
        <v>165</v>
      </c>
    </row>
    <row r="11" customFormat="false" ht="15" hidden="false" customHeight="false" outlineLevel="0" collapsed="false">
      <c r="A11" s="12" t="s">
        <v>166</v>
      </c>
      <c r="B11" s="16" t="s">
        <v>147</v>
      </c>
      <c r="C11" s="13" t="s">
        <v>121</v>
      </c>
      <c r="D11" s="13" t="s">
        <v>102</v>
      </c>
      <c r="E11" s="9"/>
      <c r="F11" s="10"/>
      <c r="G11" s="10"/>
      <c r="H11" s="15"/>
      <c r="I11" s="13" t="str">
        <f aca="false">IF(H11="","",IF(G11="","-",IF(H11&lt;G11,"Faster",IF(H11=G11,"On time","Late"))))</f>
        <v/>
      </c>
      <c r="J11" s="13"/>
      <c r="K11" s="13" t="s">
        <v>167</v>
      </c>
      <c r="L11" s="13" t="s">
        <v>168</v>
      </c>
    </row>
  </sheetData>
  <dataValidations count="2">
    <dataValidation allowBlank="true" errorStyle="stop" operator="between" showDropDown="false" showErrorMessage="false" showInputMessage="false" sqref="B4:B400" type="list">
      <formula1>"Not Started,In Progress,Blocked,Completed,Cancelled"</formula1>
      <formula2>0</formula2>
    </dataValidation>
    <dataValidation allowBlank="true" errorStyle="stop" operator="between" showDropDown="false" showErrorMessage="false" showInputMessage="false" sqref="C4:C400" type="list">
      <formula1>"Urgent,High,Normal,Low"</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8"/>
    <col collapsed="false" customWidth="true" hidden="false" outlineLevel="0" max="2" min="2" style="0" width="52"/>
    <col collapsed="false" customWidth="true" hidden="false" outlineLevel="0" max="4" min="3" style="0" width="30"/>
    <col collapsed="false" customWidth="true" hidden="false" outlineLevel="0" max="5" min="5" style="0" width="32"/>
  </cols>
  <sheetData>
    <row r="1" customFormat="false" ht="16.15" hidden="false" customHeight="false" outlineLevel="0" collapsed="false">
      <c r="A1" s="1" t="s">
        <v>279</v>
      </c>
    </row>
    <row r="2" customFormat="false" ht="15" hidden="false" customHeight="false" outlineLevel="0" collapsed="false">
      <c r="A2" s="4" t="s">
        <v>280</v>
      </c>
    </row>
    <row r="4" customFormat="false" ht="21.75" hidden="false" customHeight="true" outlineLevel="0" collapsed="false">
      <c r="A4" s="5" t="s">
        <v>33</v>
      </c>
      <c r="B4" s="5" t="s">
        <v>281</v>
      </c>
      <c r="C4" s="5" t="s">
        <v>282</v>
      </c>
      <c r="D4" s="5" t="s">
        <v>283</v>
      </c>
      <c r="E4" s="5" t="s">
        <v>284</v>
      </c>
    </row>
    <row r="5" customFormat="false" ht="35.05" hidden="false" customHeight="false" outlineLevel="0" collapsed="false">
      <c r="A5" s="27" t="s">
        <v>53</v>
      </c>
      <c r="B5" s="31" t="s">
        <v>285</v>
      </c>
      <c r="C5" s="31" t="s">
        <v>286</v>
      </c>
      <c r="D5" s="31" t="s">
        <v>287</v>
      </c>
      <c r="E5" s="31" t="s">
        <v>288</v>
      </c>
    </row>
    <row r="6" customFormat="false" ht="35.05" hidden="false" customHeight="false" outlineLevel="0" collapsed="false">
      <c r="A6" s="27" t="s">
        <v>85</v>
      </c>
      <c r="B6" s="31" t="s">
        <v>289</v>
      </c>
      <c r="C6" s="31" t="s">
        <v>286</v>
      </c>
      <c r="D6" s="31" t="s">
        <v>287</v>
      </c>
      <c r="E6" s="31" t="s">
        <v>288</v>
      </c>
    </row>
    <row r="7" customFormat="false" ht="23.85" hidden="false" customHeight="false" outlineLevel="0" collapsed="false">
      <c r="A7" s="27" t="s">
        <v>46</v>
      </c>
      <c r="B7" s="31" t="s">
        <v>290</v>
      </c>
      <c r="C7" s="31" t="s">
        <v>286</v>
      </c>
      <c r="D7" s="31" t="s">
        <v>287</v>
      </c>
      <c r="E7" s="31" t="s">
        <v>288</v>
      </c>
    </row>
    <row r="8" customFormat="false" ht="35.05" hidden="false" customHeight="false" outlineLevel="0" collapsed="false">
      <c r="A8" s="27" t="s">
        <v>59</v>
      </c>
      <c r="B8" s="31" t="s">
        <v>291</v>
      </c>
      <c r="C8" s="31" t="s">
        <v>286</v>
      </c>
      <c r="D8" s="31" t="s">
        <v>287</v>
      </c>
      <c r="E8" s="31" t="s">
        <v>288</v>
      </c>
    </row>
    <row r="9" customFormat="false" ht="23.85" hidden="false" customHeight="false" outlineLevel="0" collapsed="false">
      <c r="A9" s="27" t="s">
        <v>100</v>
      </c>
      <c r="B9" s="31" t="s">
        <v>292</v>
      </c>
      <c r="C9" s="31" t="s">
        <v>286</v>
      </c>
      <c r="D9" s="31" t="s">
        <v>287</v>
      </c>
      <c r="E9" s="31" t="s">
        <v>288</v>
      </c>
    </row>
    <row r="10" customFormat="false" ht="23.85" hidden="false" customHeight="false" outlineLevel="0" collapsed="false">
      <c r="A10" s="27" t="s">
        <v>293</v>
      </c>
      <c r="B10" s="31" t="s">
        <v>294</v>
      </c>
      <c r="C10" s="31" t="s">
        <v>286</v>
      </c>
      <c r="D10" s="31" t="s">
        <v>287</v>
      </c>
      <c r="E10" s="31" t="s">
        <v>288</v>
      </c>
    </row>
    <row r="11" customFormat="false" ht="23.85" hidden="false" customHeight="false" outlineLevel="0" collapsed="false">
      <c r="A11" s="27" t="s">
        <v>295</v>
      </c>
      <c r="B11" s="31" t="s">
        <v>296</v>
      </c>
      <c r="C11" s="31" t="s">
        <v>286</v>
      </c>
      <c r="D11" s="31" t="s">
        <v>287</v>
      </c>
      <c r="E11" s="31" t="s">
        <v>288</v>
      </c>
    </row>
    <row r="12" customFormat="false" ht="23.85" hidden="false" customHeight="false" outlineLevel="0" collapsed="false">
      <c r="A12" s="27" t="s">
        <v>297</v>
      </c>
      <c r="B12" s="31" t="s">
        <v>298</v>
      </c>
      <c r="C12" s="31" t="s">
        <v>286</v>
      </c>
      <c r="D12" s="31" t="s">
        <v>287</v>
      </c>
      <c r="E12" s="31" t="s">
        <v>288</v>
      </c>
    </row>
    <row r="14" customFormat="false" ht="15" hidden="false" customHeight="false" outlineLevel="0" collapsed="false">
      <c r="A14" s="4" t="s">
        <v>299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2026-07-20T14:35:35Z</dcterms:created>
  <dc:creator>openpyxl</dc:creator>
  <dc:description/>
  <dc:language>en-US</dc:language>
  <cp:lastModifiedBy/>
  <dcterms:modified xsi:type="dcterms:W3CDTF">2026-07-20T14:35:35Z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